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DecdesLab\project 2\"/>
    </mc:Choice>
  </mc:AlternateContent>
  <xr:revisionPtr revIDLastSave="0" documentId="13_ncr:1_{1DE53CCB-4518-41BE-9AF1-2D2E5C7BC812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heet3" sheetId="4" r:id="rId1"/>
    <sheet name="Sheet1" sheetId="1" r:id="rId2"/>
    <sheet name="Sheet2" sheetId="3" r:id="rId3"/>
  </sheets>
  <definedNames>
    <definedName name="_xlchart.v1.0" hidden="1">Sheet1!$E$1</definedName>
    <definedName name="_xlchart.v1.1" hidden="1">Sheet1!$E$2:$E$1201</definedName>
    <definedName name="_xlchart.v1.2" hidden="1">Sheet1!$N$1</definedName>
    <definedName name="_xlchart.v1.3" hidden="1">Sheet1!$N$2:$N$1201</definedName>
    <definedName name="_xlchart.v1.4" hidden="1">Sheet1!$E$1</definedName>
    <definedName name="_xlchart.v1.5" hidden="1">Sheet1!$E$2:$E$1201</definedName>
    <definedName name="_xlchart.v1.6" hidden="1">Sheet1!$N$1</definedName>
    <definedName name="_xlchart.v1.7" hidden="1">Sheet1!$N$2:$N$1201</definedName>
  </definedNames>
  <calcPr calcId="181029"/>
  <pivotCaches>
    <pivotCache cacheId="0" r:id="rId4"/>
    <pivotCache cacheId="1" r:id="rId5"/>
  </pivotCaches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2" i="1"/>
</calcChain>
</file>

<file path=xl/sharedStrings.xml><?xml version="1.0" encoding="utf-8"?>
<sst xmlns="http://schemas.openxmlformats.org/spreadsheetml/2006/main" count="10882" uniqueCount="4301">
  <si>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</si>
  <si>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</si>
  <si>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</si>
  <si>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</si>
  <si>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</si>
  <si>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</si>
  <si>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</si>
  <si>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</si>
  <si>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</si>
  <si>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</si>
  <si>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</si>
  <si>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</si>
  <si>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</si>
  <si>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</si>
  <si>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</si>
  <si>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</si>
  <si>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</si>
  <si>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</si>
  <si>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</si>
  <si>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</si>
  <si>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</si>
  <si>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</si>
  <si>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</si>
  <si>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</si>
  <si>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</si>
  <si>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</si>
  <si>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</si>
  <si>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</si>
  <si>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</si>
  <si>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</si>
  <si>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</si>
  <si>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</si>
  <si>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</si>
  <si>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</si>
  <si>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</si>
  <si>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</si>
  <si>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</si>
  <si>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</si>
  <si>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</si>
  <si>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</si>
  <si>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</si>
  <si>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</si>
  <si>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</si>
  <si>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</si>
  <si>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</si>
  <si>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</si>
  <si>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</si>
  <si>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</si>
  <si>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</si>
  <si>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</si>
  <si>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</si>
  <si>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</si>
  <si>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</si>
  <si>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</si>
  <si>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</si>
  <si>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</si>
  <si>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</si>
  <si>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</si>
  <si>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</si>
  <si>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</si>
  <si>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</si>
  <si>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</si>
  <si>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</si>
  <si>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</si>
  <si>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</si>
  <si>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</si>
  <si>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</si>
  <si>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</si>
  <si>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</si>
  <si>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</si>
  <si>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</si>
  <si>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</si>
  <si>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</si>
  <si>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</si>
  <si>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</si>
  <si>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</si>
  <si>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</si>
  <si>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</si>
  <si>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</si>
  <si>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</si>
  <si>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</si>
  <si>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</si>
  <si>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</si>
  <si>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</si>
  <si>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</si>
  <si>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</si>
  <si>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</si>
  <si>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</si>
  <si>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</si>
  <si>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</si>
  <si>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</si>
  <si>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</si>
  <si>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</si>
  <si>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</si>
  <si>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</si>
  <si>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</si>
  <si>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</si>
  <si>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</si>
  <si>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</si>
  <si>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</si>
  <si>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</si>
  <si>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</si>
  <si>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</si>
  <si>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</si>
  <si>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</si>
  <si>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</si>
  <si>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</si>
  <si>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</si>
  <si>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</si>
  <si>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</si>
  <si>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</si>
  <si>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</si>
  <si>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</si>
  <si>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</si>
  <si>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</si>
  <si>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</si>
  <si>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</si>
  <si>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</si>
  <si>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</si>
  <si>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</si>
  <si>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</si>
  <si>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</si>
  <si>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</si>
  <si>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</si>
  <si>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</si>
  <si>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</si>
  <si>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</si>
  <si>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</si>
  <si>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</si>
  <si>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</si>
  <si>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</si>
  <si>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</si>
  <si>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</si>
  <si>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</si>
  <si>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</si>
  <si>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</si>
  <si>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</si>
  <si>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</si>
  <si>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</si>
  <si>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</si>
  <si>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</si>
  <si>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</si>
  <si>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</si>
  <si>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</si>
  <si>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</si>
  <si>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</si>
  <si>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</si>
  <si>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</si>
  <si>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</si>
  <si>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</si>
  <si>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</si>
  <si>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</si>
  <si>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</si>
  <si>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</si>
  <si>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</si>
  <si>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</si>
  <si>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</si>
  <si>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</si>
  <si>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</si>
  <si>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</si>
  <si>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</si>
  <si>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</si>
  <si>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</si>
  <si>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</si>
  <si>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</si>
  <si>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</si>
  <si>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</si>
  <si>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</si>
  <si>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</si>
  <si>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</si>
  <si>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</si>
  <si>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</si>
  <si>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</si>
  <si>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</si>
  <si>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</si>
  <si>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</si>
  <si>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</si>
  <si>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</si>
  <si>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</si>
  <si>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</si>
  <si>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</si>
  <si>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</si>
  <si>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</si>
  <si>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</si>
  <si>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</si>
  <si>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</si>
  <si>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</si>
  <si>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</si>
  <si>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</si>
  <si>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</si>
  <si>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</si>
  <si>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</si>
  <si>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</si>
  <si>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</si>
  <si>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</si>
  <si>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</si>
  <si>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</si>
  <si>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</si>
  <si>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</si>
  <si>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</si>
  <si>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</si>
  <si>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</si>
  <si>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</si>
  <si>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</si>
  <si>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</si>
  <si>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</si>
  <si>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</si>
  <si>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</si>
  <si>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</si>
  <si>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</si>
  <si>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</si>
  <si>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</si>
  <si>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</si>
  <si>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</si>
  <si>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</si>
  <si>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</si>
  <si>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</si>
  <si>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</si>
  <si>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</si>
  <si>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</si>
  <si>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</si>
  <si>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</si>
  <si>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</si>
  <si>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</si>
  <si>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</si>
  <si>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</si>
  <si>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</si>
  <si>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</si>
  <si>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</si>
  <si>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</si>
  <si>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</si>
  <si>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</si>
  <si>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</si>
  <si>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</si>
  <si>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</si>
  <si>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</si>
  <si>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</si>
  <si>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</si>
  <si>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</si>
  <si>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</si>
  <si>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</si>
  <si>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</si>
  <si>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</si>
  <si>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</si>
  <si>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</si>
  <si>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</si>
  <si>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</si>
  <si>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</si>
  <si>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</si>
  <si>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</si>
  <si>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</si>
  <si>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</si>
  <si>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</si>
  <si>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</si>
  <si>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</si>
  <si>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</si>
  <si>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</si>
  <si>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</si>
  <si>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</si>
  <si>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</si>
  <si>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</si>
  <si>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</si>
  <si>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</si>
  <si>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</si>
  <si>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</si>
  <si>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</si>
  <si>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</si>
  <si>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</si>
  <si>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</si>
  <si>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</si>
  <si>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</si>
  <si>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</si>
  <si>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</si>
  <si>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</si>
  <si>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</si>
  <si>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</si>
  <si>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</si>
  <si>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</si>
  <si>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</si>
  <si>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</si>
  <si>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</si>
  <si>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</si>
  <si>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</si>
  <si>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</si>
  <si>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</si>
  <si>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</si>
  <si>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</si>
  <si>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</si>
  <si>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</si>
  <si>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</si>
  <si>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</si>
  <si>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</si>
  <si>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</si>
  <si>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</si>
  <si>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</si>
  <si>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</si>
  <si>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</si>
  <si>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</si>
  <si>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</si>
  <si>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</si>
  <si>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</si>
  <si>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</si>
  <si>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</si>
  <si>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</si>
  <si>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</si>
  <si>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</si>
  <si>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</si>
  <si>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</si>
  <si>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</si>
  <si>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</si>
  <si>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</si>
  <si>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</si>
  <si>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</si>
  <si>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</si>
  <si>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</si>
  <si>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</si>
  <si>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</si>
  <si>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</si>
  <si>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</si>
  <si>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</si>
  <si>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</si>
  <si>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</si>
  <si>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</si>
  <si>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</si>
  <si>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</si>
  <si>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</si>
  <si>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</si>
  <si>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</si>
  <si>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</si>
  <si>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</si>
  <si>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</si>
  <si>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</si>
  <si>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</si>
  <si>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</si>
  <si>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</si>
  <si>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</si>
  <si>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</si>
  <si>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</si>
  <si>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</si>
  <si>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</si>
  <si>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</si>
  <si>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</si>
  <si>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</si>
  <si>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</si>
  <si>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</si>
  <si>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</si>
  <si>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</si>
  <si>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</si>
  <si>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</si>
  <si>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</si>
  <si>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</si>
  <si>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</si>
  <si>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</si>
  <si>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</si>
  <si>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</si>
  <si>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</si>
  <si>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</si>
  <si>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</si>
  <si>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</si>
  <si>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</si>
  <si>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</si>
  <si>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</si>
  <si>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</si>
  <si>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</si>
  <si>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</si>
  <si>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</si>
  <si>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</si>
  <si>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</si>
  <si>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</si>
  <si>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</si>
  <si>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</si>
  <si>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</si>
  <si>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</si>
  <si>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</si>
  <si>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</si>
  <si>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</si>
  <si>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</si>
  <si>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</si>
  <si>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</si>
  <si>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</si>
  <si>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</si>
  <si>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</si>
  <si>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</si>
  <si>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</si>
  <si>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</si>
  <si>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</si>
  <si>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</si>
  <si>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</si>
  <si>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</si>
  <si>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</si>
  <si>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</si>
  <si>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</si>
  <si>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</si>
  <si>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</si>
  <si>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</si>
  <si>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</si>
  <si>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</si>
  <si>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</si>
  <si>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</si>
  <si>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</si>
  <si>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</si>
  <si>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</si>
  <si>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</si>
  <si>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</si>
  <si>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</si>
  <si>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</si>
  <si>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</si>
  <si>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</si>
  <si>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</si>
  <si>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</si>
  <si>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</si>
  <si>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</si>
  <si>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</si>
  <si>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</si>
  <si>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</si>
  <si>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</si>
  <si>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</si>
  <si>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</si>
  <si>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</si>
  <si>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</si>
  <si>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</si>
  <si>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</si>
  <si>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</si>
  <si>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</si>
  <si>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</si>
  <si>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</si>
  <si>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</si>
  <si>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</si>
  <si>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</si>
  <si>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</si>
  <si>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</si>
  <si>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</si>
  <si>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</si>
  <si>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</si>
  <si>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</si>
  <si>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</si>
  <si>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</si>
  <si>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</si>
  <si>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</si>
  <si>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</si>
  <si>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</si>
  <si>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</si>
  <si>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</si>
  <si>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</si>
  <si>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</si>
  <si>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</si>
  <si>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</si>
  <si>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</si>
  <si>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</si>
  <si>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</si>
  <si>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</si>
  <si>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</si>
  <si>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</si>
  <si>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</si>
  <si>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</si>
  <si>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</si>
  <si>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</si>
  <si>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</si>
  <si>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</si>
  <si>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</si>
  <si>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</si>
  <si>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</si>
  <si>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</si>
  <si>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</si>
  <si>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</si>
  <si>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</si>
  <si>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</si>
  <si>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</si>
  <si>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</si>
  <si>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</si>
  <si>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</si>
  <si>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</si>
  <si>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</si>
  <si>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</si>
  <si>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</si>
  <si>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</si>
  <si>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</si>
  <si>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</si>
  <si>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</si>
  <si>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</si>
  <si>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</si>
  <si>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</si>
  <si>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</si>
  <si>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</si>
  <si>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</si>
  <si>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</si>
  <si>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</si>
  <si>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</si>
  <si>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</si>
  <si>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</si>
  <si>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</si>
  <si>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</si>
  <si>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</si>
  <si>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</si>
  <si>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</si>
  <si>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</si>
  <si>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</si>
  <si>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</si>
  <si>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</si>
  <si>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</si>
  <si>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</si>
  <si>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</si>
  <si>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</si>
  <si>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</si>
  <si>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</si>
  <si>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</si>
  <si>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</si>
  <si>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</si>
  <si>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</si>
  <si>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</si>
  <si>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</si>
  <si>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</si>
  <si>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</si>
  <si>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</si>
  <si>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</si>
  <si>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</si>
  <si>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</si>
  <si>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</si>
  <si>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</si>
  <si>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</si>
  <si>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</si>
  <si>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</si>
  <si>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</si>
  <si>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</si>
  <si>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</si>
  <si>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</si>
  <si>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</si>
  <si>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</si>
  <si>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</si>
  <si>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</si>
  <si>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</si>
  <si>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</si>
  <si>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</si>
  <si>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</si>
  <si>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</si>
  <si>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</si>
  <si>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</si>
  <si>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</si>
  <si>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</si>
  <si>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</si>
  <si>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</si>
  <si>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</si>
  <si>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</si>
  <si>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</si>
  <si>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</si>
  <si>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</si>
  <si>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</si>
  <si>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</si>
  <si>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</si>
  <si>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</si>
  <si>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</si>
  <si>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</si>
  <si>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</si>
  <si>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</si>
  <si>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</si>
  <si>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</si>
  <si>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</si>
  <si>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</si>
  <si>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</si>
  <si>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</si>
  <si>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</si>
  <si>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</si>
  <si>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</si>
  <si>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</si>
  <si>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</si>
  <si>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</si>
  <si>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</si>
  <si>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</si>
  <si>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</si>
  <si>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</si>
  <si>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</si>
  <si>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</si>
  <si>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</si>
  <si>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</si>
  <si>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</si>
  <si>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</si>
  <si>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</si>
  <si>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</si>
  <si>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</si>
  <si>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</si>
  <si>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</si>
  <si>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</si>
  <si>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</si>
  <si>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</si>
  <si>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</si>
  <si>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</si>
  <si>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</si>
  <si>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</si>
  <si>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</si>
  <si>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</si>
  <si>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</si>
  <si>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</si>
  <si>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</si>
  <si>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</si>
  <si>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</si>
  <si>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</si>
  <si>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</si>
  <si>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</si>
  <si>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</si>
  <si>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</si>
  <si>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</si>
  <si>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</si>
  <si>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</si>
  <si>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</si>
  <si>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</si>
  <si>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</si>
  <si>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</si>
  <si>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</si>
  <si>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</si>
  <si>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</si>
  <si>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</si>
  <si>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</si>
  <si>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</si>
  <si>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</si>
  <si>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</si>
  <si>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</si>
  <si>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</si>
  <si>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</si>
  <si>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</si>
  <si>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</si>
  <si>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</si>
  <si>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</si>
  <si>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</si>
  <si>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</si>
  <si>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</si>
  <si>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</si>
  <si>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</si>
  <si>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</si>
  <si>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</si>
  <si>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</si>
  <si>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</si>
  <si>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</si>
  <si>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</si>
  <si>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</si>
  <si>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</si>
  <si>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</si>
  <si>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</si>
  <si>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</si>
  <si>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</si>
  <si>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</si>
  <si>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</si>
  <si>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</si>
  <si>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</si>
  <si>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</si>
  <si>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</si>
  <si>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</si>
  <si>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</si>
  <si>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</si>
  <si>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</si>
  <si>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</si>
  <si>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</si>
  <si>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</si>
  <si>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</si>
  <si>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</si>
  <si>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</si>
  <si>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</si>
  <si>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</si>
  <si>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</si>
  <si>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</si>
  <si>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</si>
  <si>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</si>
  <si>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</si>
  <si>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</si>
  <si>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</si>
  <si>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</si>
  <si>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</si>
  <si>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</si>
  <si>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</si>
  <si>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</si>
  <si>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</si>
  <si>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</si>
  <si>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</si>
  <si>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</si>
  <si>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</si>
  <si>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</si>
  <si>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</si>
  <si>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</si>
  <si>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</si>
  <si>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</si>
  <si>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</si>
  <si>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</si>
  <si>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</si>
  <si>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</si>
  <si>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</si>
  <si>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</si>
  <si>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</si>
  <si>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</si>
  <si>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</si>
  <si>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</si>
  <si>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</si>
  <si>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</si>
  <si>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</si>
  <si>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</si>
  <si>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</si>
  <si>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</si>
  <si>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</si>
  <si>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</si>
  <si>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</si>
  <si>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</si>
  <si>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</si>
  <si>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</si>
  <si>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</si>
  <si>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</si>
  <si>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</si>
  <si>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</si>
  <si>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</si>
  <si>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</si>
  <si>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</si>
  <si>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</si>
  <si>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</si>
  <si>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</si>
  <si>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</si>
  <si>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</si>
  <si>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</si>
  <si>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</si>
  <si>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</si>
  <si>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</si>
  <si>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</si>
  <si>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</si>
  <si>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</si>
  <si>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</si>
  <si>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</si>
  <si>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</si>
  <si>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</si>
  <si>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</si>
  <si>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</si>
  <si>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</si>
  <si>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</si>
  <si>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</si>
  <si>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</si>
  <si>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</si>
  <si>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</si>
  <si>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</si>
  <si>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</si>
  <si>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</si>
  <si>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</si>
  <si>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</si>
  <si>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</si>
  <si>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</si>
  <si>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</si>
  <si>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</si>
  <si>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</si>
  <si>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</si>
  <si>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</si>
  <si>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</si>
  <si>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</si>
  <si>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</si>
  <si>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</si>
  <si>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</si>
  <si>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</si>
  <si>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</si>
  <si>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</si>
  <si>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</si>
  <si>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</si>
  <si>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</si>
  <si>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</si>
  <si>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</si>
  <si>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</si>
  <si>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</si>
  <si>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</si>
  <si>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</si>
  <si>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</si>
  <si>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</si>
  <si>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</si>
  <si>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</si>
  <si>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</si>
  <si>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</si>
  <si>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</si>
  <si>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</si>
  <si>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</si>
  <si>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</si>
  <si>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</si>
  <si>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</si>
  <si>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</si>
  <si>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</si>
  <si>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</si>
  <si>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</si>
  <si>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</si>
  <si>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</si>
  <si>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</si>
  <si>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</si>
  <si>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</si>
  <si>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</si>
  <si>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</si>
  <si>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</si>
  <si>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</si>
  <si>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</si>
  <si>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</si>
  <si>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</si>
  <si>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</si>
  <si>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</si>
  <si>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</si>
  <si>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</si>
  <si>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</si>
  <si>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</si>
  <si>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</si>
  <si>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</si>
  <si>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</si>
  <si>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</si>
  <si>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</si>
  <si>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</si>
  <si>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</si>
  <si>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</si>
  <si>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</si>
  <si>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</si>
  <si>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</si>
  <si>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</si>
  <si>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</si>
  <si>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</si>
  <si>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</si>
  <si>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</si>
  <si>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</si>
  <si>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</si>
  <si>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</si>
  <si>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</si>
  <si>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</si>
  <si>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</si>
  <si>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</si>
  <si>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</si>
  <si>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</si>
  <si>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</si>
  <si>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</si>
  <si>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</si>
  <si>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</si>
  <si>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</si>
  <si>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</si>
  <si>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</si>
  <si>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</si>
  <si>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</si>
  <si>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</si>
  <si>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</si>
  <si>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</si>
  <si>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</si>
  <si>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</si>
  <si>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</si>
  <si>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</si>
  <si>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</si>
  <si>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</si>
  <si>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</si>
  <si>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</si>
  <si>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</si>
  <si>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</si>
  <si>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</si>
  <si>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</si>
  <si>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</si>
  <si>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</si>
  <si>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</si>
  <si>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</si>
  <si>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</si>
  <si>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</si>
  <si>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</si>
  <si>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</si>
  <si>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</si>
  <si>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</si>
  <si>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</si>
  <si>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</si>
  <si>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</si>
  <si>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</si>
  <si>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</si>
  <si>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</si>
  <si>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</si>
  <si>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</si>
  <si>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</si>
  <si>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</si>
  <si>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</si>
  <si>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</si>
  <si>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</si>
  <si>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</si>
  <si>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</si>
  <si>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</si>
  <si>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</si>
  <si>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</si>
  <si>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</si>
  <si>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</si>
  <si>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</si>
  <si>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</si>
  <si>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</si>
  <si>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</si>
  <si>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</si>
  <si>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</si>
  <si>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</si>
  <si>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</si>
  <si>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</si>
  <si>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</si>
  <si>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</si>
  <si>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</si>
  <si>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</si>
  <si>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</si>
  <si>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</si>
  <si>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</si>
  <si>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</si>
  <si>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</si>
  <si>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</si>
  <si>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</si>
  <si>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</si>
  <si>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</si>
  <si>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</si>
  <si>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</si>
  <si>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</si>
  <si>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</si>
  <si>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</si>
  <si>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</si>
  <si>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</si>
  <si>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</si>
  <si>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</si>
  <si>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</si>
  <si>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</si>
  <si>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</si>
  <si>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</si>
  <si>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</si>
  <si>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</si>
  <si>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</si>
  <si>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</si>
  <si>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</si>
  <si>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</si>
  <si>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</si>
  <si>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</si>
  <si>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</si>
  <si>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</si>
  <si>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</si>
  <si>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</si>
  <si>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</si>
  <si>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</si>
  <si>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</si>
  <si>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</si>
  <si>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</si>
  <si>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</si>
  <si>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</si>
  <si>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</si>
  <si>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</si>
  <si>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</si>
  <si>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</si>
  <si>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</si>
  <si>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</si>
  <si>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</si>
  <si>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</si>
  <si>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</si>
  <si>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</si>
  <si>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</si>
  <si>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</si>
  <si>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</si>
  <si>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</si>
  <si>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</si>
  <si>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</si>
  <si>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</si>
  <si>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</si>
  <si>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</si>
  <si>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</si>
  <si>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</si>
  <si>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</si>
  <si>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</si>
  <si>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</si>
  <si>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</si>
  <si>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</si>
  <si>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</si>
  <si>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</si>
  <si>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</si>
  <si>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</si>
  <si>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</si>
  <si>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</si>
  <si>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</si>
  <si>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</si>
  <si>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</si>
  <si>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</si>
  <si>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</si>
  <si>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</si>
  <si>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</si>
  <si>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</si>
  <si>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</si>
  <si>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</si>
  <si>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</si>
  <si>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</si>
  <si>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</si>
  <si>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</si>
  <si>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</si>
  <si>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</si>
  <si>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</si>
  <si>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</si>
  <si>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</si>
  <si>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</si>
  <si>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</si>
  <si>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</si>
  <si>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</si>
  <si>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</si>
  <si>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</si>
  <si>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</si>
  <si>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</si>
  <si>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</si>
  <si>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</si>
  <si>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</si>
  <si>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</si>
  <si>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</si>
  <si>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</si>
  <si>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</si>
  <si>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</si>
  <si>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</si>
  <si>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</si>
  <si>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</si>
  <si>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</si>
  <si>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</si>
  <si>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</si>
  <si>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</si>
  <si>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</si>
  <si>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</si>
  <si>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</si>
  <si>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</si>
  <si>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</si>
  <si>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</si>
  <si>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</si>
  <si>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</si>
  <si>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</si>
  <si>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</si>
  <si>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</si>
  <si>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</si>
  <si>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</si>
  <si>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</si>
  <si>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</si>
  <si>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</si>
  <si>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</si>
  <si>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</si>
  <si>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</si>
  <si>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</si>
  <si>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</si>
  <si>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</si>
  <si>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</si>
  <si>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</si>
  <si>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</si>
  <si>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</si>
  <si>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</si>
  <si>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</si>
  <si>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</si>
  <si>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</si>
  <si>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</si>
  <si>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</si>
  <si>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</si>
  <si>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</si>
  <si>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</si>
  <si>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</si>
  <si>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</si>
  <si>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</si>
  <si>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</si>
  <si>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</si>
  <si>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</si>
  <si>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</si>
  <si>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</si>
  <si>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</si>
  <si>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</si>
  <si>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</si>
  <si>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</si>
  <si>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</si>
  <si>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</si>
  <si>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</si>
  <si>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</si>
  <si>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</si>
  <si>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</si>
  <si>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</si>
  <si>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</si>
  <si>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</si>
  <si>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</si>
  <si>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</si>
  <si>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</si>
  <si>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</si>
  <si>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</si>
  <si>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</si>
  <si>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</si>
  <si>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</si>
  <si>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</si>
  <si>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</si>
  <si>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</si>
  <si>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</si>
  <si>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</si>
  <si>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</si>
  <si>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</si>
  <si>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</si>
  <si>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</si>
  <si>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</si>
  <si>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</si>
  <si>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</si>
  <si>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</si>
  <si>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</si>
  <si>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</si>
  <si>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</si>
  <si>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</si>
  <si>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</si>
  <si>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</si>
  <si>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</si>
  <si>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</si>
  <si>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</si>
  <si>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</si>
  <si>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</si>
  <si>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</si>
  <si>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</si>
  <si>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</si>
  <si>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</si>
  <si>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</si>
  <si>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</si>
  <si>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</si>
  <si>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</si>
  <si>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</si>
  <si>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</si>
  <si>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</si>
  <si>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</si>
  <si>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</si>
  <si>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</si>
  <si>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</si>
  <si>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</si>
  <si>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</si>
  <si>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</si>
  <si>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</si>
  <si>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</si>
  <si>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</si>
  <si>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</si>
  <si>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</si>
  <si>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</si>
  <si>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</si>
  <si>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</si>
  <si>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</si>
  <si>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</si>
  <si>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</si>
  <si>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</si>
  <si>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</si>
  <si>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</si>
  <si>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</si>
  <si>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</si>
  <si>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</si>
  <si>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</si>
  <si>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</si>
  <si>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</si>
  <si>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</si>
  <si>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</si>
  <si>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</si>
  <si>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</si>
  <si>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</si>
  <si>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</si>
  <si>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</si>
  <si>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</si>
  <si>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</si>
  <si>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</si>
  <si>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</si>
  <si>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</si>
  <si>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</si>
  <si>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</si>
  <si>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</si>
  <si>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</si>
  <si>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</si>
  <si>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</si>
  <si>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</si>
  <si>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</si>
  <si>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</si>
  <si>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</si>
  <si>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</si>
  <si>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</si>
  <si>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</si>
  <si>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</si>
  <si>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</si>
  <si>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</si>
  <si>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</si>
  <si>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</si>
  <si>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</si>
  <si>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</si>
  <si>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</si>
  <si>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</si>
  <si>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</si>
  <si>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</si>
  <si>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</si>
  <si>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</si>
  <si>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</si>
  <si>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</si>
  <si>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</si>
  <si>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</si>
  <si>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</si>
  <si>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</si>
  <si>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</si>
  <si>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</si>
  <si>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</si>
  <si>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</si>
  <si>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</si>
  <si>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</si>
  <si>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</si>
  <si>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</si>
  <si>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</si>
  <si>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</si>
  <si>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</si>
  <si>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</si>
  <si>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</si>
  <si>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</si>
  <si>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</si>
  <si>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</si>
  <si>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</si>
  <si>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</si>
  <si>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</si>
  <si>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</si>
  <si>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</si>
  <si>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</si>
  <si>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</si>
  <si>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</si>
  <si>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</si>
  <si>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</si>
  <si>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</si>
  <si>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</si>
  <si>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</si>
  <si>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</si>
  <si>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</si>
  <si>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</si>
  <si>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</si>
  <si>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</si>
  <si>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</si>
  <si>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</si>
  <si>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</si>
  <si>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</si>
  <si>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</si>
  <si>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</si>
  <si>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</si>
  <si>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</si>
  <si>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</si>
  <si>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</si>
  <si>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</si>
  <si>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</si>
  <si>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</si>
  <si>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</si>
  <si>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</si>
  <si>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</si>
  <si>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</si>
  <si>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</si>
  <si>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</si>
  <si>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</si>
  <si>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</si>
  <si>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</si>
  <si>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</si>
  <si>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</si>
  <si>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</si>
  <si>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</si>
  <si>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</si>
  <si>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</si>
  <si>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</si>
  <si>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</si>
  <si>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</si>
  <si>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</si>
  <si>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</si>
  <si>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</si>
  <si>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</si>
  <si>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</si>
  <si>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</si>
  <si>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</si>
  <si>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</si>
  <si>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</si>
  <si>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</si>
  <si>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</si>
  <si>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</si>
  <si>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</si>
  <si>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</si>
  <si>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</si>
  <si>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</si>
  <si>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</si>
  <si>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</si>
  <si>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</si>
  <si>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</si>
  <si>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</si>
  <si>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</si>
  <si>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</si>
  <si>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</si>
  <si>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</si>
  <si>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</si>
  <si>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</si>
  <si>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</si>
  <si>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</si>
  <si>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</si>
  <si>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</si>
  <si>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</si>
  <si>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</si>
  <si>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</si>
  <si>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</si>
  <si>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</si>
  <si>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</si>
  <si>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</si>
  <si>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</si>
  <si>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</si>
  <si>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</si>
  <si>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</si>
  <si>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</si>
  <si>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</si>
  <si>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</si>
  <si>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</si>
  <si>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</si>
  <si>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</si>
  <si>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</si>
  <si>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</si>
  <si>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</si>
  <si>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</si>
  <si>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</si>
  <si>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</si>
  <si>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</si>
  <si>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</si>
  <si>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</si>
  <si>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</si>
  <si>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</si>
  <si>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</si>
  <si>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</si>
  <si>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</si>
  <si>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</si>
  <si>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</si>
  <si>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</si>
  <si>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</si>
  <si>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</si>
  <si>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</si>
  <si>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</si>
  <si>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</si>
  <si>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</si>
  <si>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</si>
  <si>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</si>
  <si>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</si>
  <si>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</si>
  <si>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</si>
  <si>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</si>
  <si>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</si>
  <si>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</si>
  <si>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</si>
  <si>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</si>
  <si>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</si>
  <si>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</si>
  <si>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</si>
  <si>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</si>
  <si>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</si>
  <si>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</si>
  <si>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</si>
  <si>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</si>
  <si>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</si>
  <si>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</si>
  <si>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</si>
  <si>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</si>
  <si>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</si>
  <si>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</si>
  <si>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</si>
  <si>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</si>
  <si>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</si>
  <si>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</si>
  <si>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</si>
  <si>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</si>
  <si>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</si>
  <si>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</si>
  <si>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</si>
  <si>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</si>
  <si>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</si>
  <si>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</si>
  <si>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</si>
  <si>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</si>
  <si>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</si>
  <si>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</si>
  <si>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</si>
  <si>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</si>
  <si>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</si>
  <si>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</si>
  <si>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</si>
  <si>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</si>
  <si>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</si>
  <si>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</si>
  <si>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</si>
  <si>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</si>
  <si>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</si>
  <si>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</si>
  <si>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</si>
  <si>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</si>
  <si>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</si>
  <si>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</si>
  <si>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</si>
  <si>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</si>
  <si>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</si>
  <si>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</si>
  <si>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</si>
  <si>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</si>
  <si>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</si>
  <si>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</si>
  <si>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</si>
  <si>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</si>
  <si>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</si>
  <si>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</si>
  <si>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</si>
  <si>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</si>
  <si>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</si>
  <si>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</si>
  <si>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</si>
  <si>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</si>
  <si>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</si>
  <si>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</si>
  <si>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</si>
  <si>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</si>
  <si>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</si>
  <si>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</si>
  <si>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</si>
  <si>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</si>
  <si>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</si>
  <si>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</si>
  <si>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</si>
  <si>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</si>
  <si>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</si>
  <si>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</si>
  <si>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</si>
  <si>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</si>
  <si>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</si>
  <si>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</si>
  <si>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</si>
  <si>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</si>
  <si>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</si>
  <si>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</si>
  <si>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</si>
  <si>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</si>
  <si>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</si>
  <si>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</si>
  <si>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</si>
  <si>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</si>
  <si>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</si>
  <si>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</si>
  <si>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</si>
  <si>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</si>
  <si>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</si>
  <si>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</si>
  <si>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</si>
  <si>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</si>
  <si>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</si>
  <si>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</si>
  <si>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</si>
  <si>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</si>
  <si>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</si>
  <si>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</si>
  <si>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</si>
  <si>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</si>
  <si>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</si>
  <si>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</si>
  <si>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</si>
  <si>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</si>
  <si>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</si>
  <si>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</si>
  <si>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</si>
  <si>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</si>
  <si>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</si>
  <si>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</si>
  <si>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</si>
  <si>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</si>
  <si>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</si>
  <si>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</si>
  <si>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</si>
  <si>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</si>
  <si>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</si>
  <si>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</si>
  <si>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</si>
  <si>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</si>
  <si>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</si>
  <si>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</si>
  <si>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</si>
  <si>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</si>
  <si>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</si>
  <si>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</si>
  <si>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</si>
  <si>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</si>
  <si>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</si>
  <si>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</si>
  <si>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</si>
  <si>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</si>
  <si>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</si>
  <si>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</si>
  <si>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</si>
  <si>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</si>
  <si>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</si>
  <si>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</si>
  <si>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</si>
  <si>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</si>
  <si>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</si>
  <si>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</si>
  <si>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</si>
  <si>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</si>
  <si>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</si>
  <si>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</si>
  <si>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</si>
  <si>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</si>
  <si>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</si>
  <si>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</si>
  <si>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</si>
  <si>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</si>
  <si>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</si>
  <si>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</si>
  <si>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</si>
  <si>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</si>
  <si>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</si>
  <si>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</si>
  <si>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</si>
  <si>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</si>
  <si>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</si>
  <si>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</si>
  <si>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</si>
  <si>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</si>
  <si>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</si>
  <si>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</si>
  <si>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</si>
  <si>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</si>
  <si>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</si>
  <si>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</si>
  <si>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</si>
  <si>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</si>
  <si>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</si>
  <si>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</si>
  <si>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</si>
  <si>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</si>
  <si>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</si>
  <si>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</si>
  <si>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</si>
  <si>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</si>
  <si>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</si>
  <si>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</si>
  <si>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</si>
  <si>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</si>
  <si>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</si>
  <si>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</si>
  <si>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</si>
  <si>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</si>
  <si>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</si>
  <si>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</si>
  <si>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</si>
  <si>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</si>
  <si>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</si>
  <si>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</si>
  <si>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</si>
  <si>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</si>
  <si>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</si>
  <si>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</si>
  <si>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</si>
  <si>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</si>
  <si>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</si>
  <si>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</si>
  <si>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</si>
  <si>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</si>
  <si>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</si>
  <si>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</si>
  <si>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</si>
  <si>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</si>
  <si>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</si>
  <si>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</si>
  <si>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</si>
  <si>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</si>
  <si>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</si>
  <si>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</si>
  <si>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</si>
  <si>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</si>
  <si>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</si>
  <si>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</si>
  <si>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</si>
  <si>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</si>
  <si>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</si>
  <si>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</si>
  <si>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</si>
  <si>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</si>
  <si>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</si>
  <si>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</si>
  <si>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</si>
  <si>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</si>
  <si>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</si>
  <si>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</si>
  <si>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</si>
  <si>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</si>
  <si>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</si>
  <si>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</si>
  <si>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</si>
  <si>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</si>
  <si>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</si>
  <si>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</si>
  <si>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</si>
  <si>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</si>
  <si>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</si>
  <si>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</si>
  <si>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</si>
  <si>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</si>
  <si>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</si>
  <si>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</si>
  <si>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</si>
  <si>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</si>
  <si>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</si>
  <si>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</si>
  <si>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</si>
  <si>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</si>
  <si>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</si>
  <si>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</si>
  <si>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</si>
  <si>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</si>
  <si>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</si>
  <si>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</si>
  <si>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</si>
  <si>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</si>
  <si>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</si>
  <si>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</si>
  <si>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</si>
  <si>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</si>
  <si>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</si>
  <si>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</si>
  <si>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</si>
  <si>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</si>
  <si>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</si>
  <si>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</si>
  <si>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</si>
  <si>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</si>
  <si>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</si>
  <si>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</si>
  <si>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</si>
  <si>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</si>
  <si>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</si>
  <si>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</si>
  <si>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</si>
  <si>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</si>
  <si>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</si>
  <si>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</si>
  <si>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</si>
  <si>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</si>
  <si>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</si>
  <si>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</si>
  <si>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</si>
  <si>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</si>
  <si>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</si>
  <si>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</si>
  <si>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</si>
  <si>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</si>
  <si>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</si>
  <si>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</si>
  <si>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</si>
  <si>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</si>
  <si>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</si>
  <si>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</si>
  <si>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</si>
  <si>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</si>
  <si>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</si>
  <si>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</si>
  <si>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</si>
  <si>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</si>
  <si>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</si>
  <si>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</si>
  <si>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</si>
  <si>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</si>
  <si>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</si>
  <si>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</si>
  <si>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</si>
  <si>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</si>
  <si>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</si>
  <si>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</si>
  <si>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</si>
  <si>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</si>
  <si>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</si>
  <si>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</si>
  <si>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</si>
  <si>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</si>
  <si>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</si>
  <si>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</si>
  <si>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</si>
  <si>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</si>
  <si>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</si>
  <si>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</si>
  <si>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</si>
  <si>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</si>
  <si>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</si>
  <si>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</si>
  <si>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</si>
  <si>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</si>
  <si>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</si>
  <si>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</si>
  <si>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</si>
  <si>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</si>
  <si>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</si>
  <si>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</si>
  <si>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</si>
  <si>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</si>
  <si>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</si>
  <si>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</si>
  <si>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</si>
  <si>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</si>
  <si>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</si>
  <si>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</si>
  <si>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</si>
  <si>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</si>
  <si>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</si>
  <si>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</si>
  <si>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</si>
  <si>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</si>
  <si>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</si>
  <si>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</si>
  <si>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</si>
  <si>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</si>
  <si>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</si>
  <si>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</si>
  <si>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</si>
  <si>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</si>
  <si>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</si>
  <si>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</si>
  <si>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</si>
  <si>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</si>
  <si>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</si>
  <si>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</si>
  <si>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</si>
  <si>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</si>
  <si>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</si>
  <si>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</si>
  <si>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</si>
  <si>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</si>
  <si>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</si>
  <si>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</si>
  <si>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</si>
  <si>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</si>
  <si>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</si>
  <si>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</si>
  <si>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</si>
  <si>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</si>
  <si>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</si>
  <si>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</si>
  <si>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</si>
  <si>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</si>
  <si>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</si>
  <si>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</si>
  <si>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</si>
  <si>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</si>
  <si>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</si>
  <si>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</si>
  <si>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</si>
  <si>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</si>
  <si>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</si>
  <si>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</si>
  <si>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</si>
  <si>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</si>
  <si>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</si>
  <si>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</si>
  <si>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</si>
  <si>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</si>
  <si>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</si>
  <si>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</si>
  <si>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</si>
  <si>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</si>
  <si>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</si>
  <si>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</si>
  <si>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</si>
  <si>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</si>
  <si>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</si>
  <si>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</si>
  <si>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</si>
  <si>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</si>
  <si>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</si>
  <si>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</si>
  <si>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</si>
  <si>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</si>
  <si>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</si>
  <si>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</si>
  <si>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</si>
  <si>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</si>
  <si>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</si>
  <si>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</si>
  <si>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</si>
  <si>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</si>
  <si>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</si>
  <si>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</si>
  <si>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</si>
  <si>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</si>
  <si>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</si>
  <si>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</si>
  <si>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</si>
  <si>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</si>
  <si>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</si>
  <si>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</si>
  <si>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</si>
  <si>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</si>
  <si>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</si>
  <si>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</si>
  <si>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</si>
  <si>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</si>
  <si>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</si>
  <si>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</si>
  <si>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</si>
  <si>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</si>
  <si>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</si>
  <si>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</si>
  <si>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</si>
  <si>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</si>
  <si>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</si>
  <si>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</si>
  <si>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</si>
  <si>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</si>
  <si>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</si>
  <si>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</si>
  <si>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</si>
  <si>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</si>
  <si>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</si>
  <si>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</si>
  <si>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</si>
  <si>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</si>
  <si>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</si>
  <si>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</si>
  <si>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</si>
  <si>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</si>
  <si>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</si>
  <si>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</si>
  <si>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</si>
  <si>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</si>
  <si>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</si>
  <si>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</si>
  <si>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</si>
  <si>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</si>
  <si>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</si>
  <si>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</si>
  <si>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</si>
  <si>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</si>
  <si>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</si>
  <si>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</si>
  <si>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</si>
  <si>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</si>
  <si>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</si>
  <si>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</si>
  <si>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</si>
  <si>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</si>
  <si>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</si>
  <si>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</si>
  <si>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</si>
  <si>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</si>
  <si>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</si>
  <si>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</si>
  <si>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</si>
  <si>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</si>
  <si>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</si>
  <si>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</si>
  <si>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</si>
  <si>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</si>
  <si>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</si>
  <si>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</si>
  <si>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</si>
  <si>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</si>
  <si>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</si>
  <si>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</si>
  <si>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</si>
  <si>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</si>
  <si>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</si>
  <si>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</si>
  <si>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</si>
  <si>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</si>
  <si>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</si>
  <si>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</si>
  <si>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</si>
  <si>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</si>
  <si>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</si>
  <si>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</si>
  <si>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</si>
  <si>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</si>
  <si>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</si>
  <si>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</si>
  <si>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</si>
  <si>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</si>
  <si>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</si>
  <si>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</si>
  <si>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</si>
  <si>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</si>
  <si>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</si>
  <si>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</si>
  <si>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</si>
  <si>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</si>
  <si>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</si>
  <si>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</si>
  <si>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</si>
  <si>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</si>
  <si>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</si>
  <si>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</si>
  <si>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</si>
  <si>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</si>
  <si>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</si>
  <si>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</si>
  <si>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</si>
  <si>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</si>
  <si>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</si>
  <si>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</si>
  <si>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</si>
  <si>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</si>
  <si>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</si>
  <si>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</si>
  <si>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</si>
  <si>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</si>
  <si>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</si>
  <si>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</si>
  <si>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</si>
  <si>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</si>
  <si>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</si>
  <si>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</si>
  <si>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</si>
  <si>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</si>
  <si>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</si>
  <si>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</si>
  <si>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</si>
  <si>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</si>
  <si>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</si>
  <si>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</si>
  <si>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</si>
  <si>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</si>
  <si>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</si>
  <si>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</si>
  <si>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</si>
  <si>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</si>
  <si>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</si>
  <si>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</si>
  <si>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</si>
  <si>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</si>
  <si>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</si>
  <si>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</si>
  <si>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</si>
  <si>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</si>
  <si>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</si>
  <si>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</si>
  <si>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</si>
  <si>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</si>
  <si>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</si>
  <si>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</si>
  <si>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</si>
  <si>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</si>
  <si>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</si>
  <si>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</si>
  <si>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</si>
  <si>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</si>
  <si>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</si>
  <si>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</si>
  <si>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</si>
  <si>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</si>
  <si>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</si>
  <si>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</si>
  <si>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</si>
  <si>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</si>
  <si>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</si>
  <si>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</si>
  <si>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</si>
  <si>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</si>
  <si>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</si>
  <si>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</si>
  <si>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</si>
  <si>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</si>
  <si>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</si>
  <si>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</si>
  <si>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</si>
  <si>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</si>
  <si>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</si>
  <si>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</si>
  <si>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</si>
  <si>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</si>
  <si>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</si>
  <si>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</si>
  <si>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</si>
  <si>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</si>
  <si>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</si>
  <si>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</si>
  <si>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</si>
  <si>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</si>
  <si>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</si>
  <si>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</si>
  <si>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</si>
  <si>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</si>
  <si>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</si>
  <si>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</si>
  <si>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</si>
  <si>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</si>
  <si>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</si>
  <si>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</si>
  <si>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</si>
  <si>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</si>
  <si>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</si>
  <si>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</si>
  <si>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</si>
  <si>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</si>
  <si>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</si>
  <si>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</si>
  <si>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</si>
  <si>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</si>
  <si>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</si>
  <si>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</si>
  <si>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</si>
  <si>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</si>
  <si>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</si>
  <si>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</si>
  <si>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</si>
  <si>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</si>
  <si>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</si>
  <si>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</si>
  <si>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</si>
  <si>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</si>
  <si>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</si>
  <si>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</si>
  <si>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</si>
  <si>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</si>
  <si>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</si>
  <si>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</si>
  <si>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</si>
  <si>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</si>
  <si>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</si>
  <si>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</si>
  <si>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</si>
  <si>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</si>
  <si>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</si>
  <si>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</si>
  <si>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</si>
  <si>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</si>
  <si>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</si>
  <si>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</si>
  <si>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</si>
  <si>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</si>
  <si>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</si>
  <si>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</si>
  <si>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</si>
  <si>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</si>
  <si>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</si>
  <si>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</si>
  <si>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</si>
  <si>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</si>
  <si>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</si>
  <si>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</si>
  <si>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</si>
  <si>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</si>
  <si>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</si>
  <si>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</si>
  <si>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</si>
  <si>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</si>
  <si>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</si>
  <si>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</si>
  <si>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</si>
  <si>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</si>
  <si>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</si>
  <si>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</si>
  <si>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</si>
  <si>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</si>
  <si>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</si>
  <si>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</si>
  <si>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</si>
  <si>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</si>
  <si>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</si>
  <si>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</si>
  <si>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</si>
  <si>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</si>
  <si>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</si>
  <si>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</si>
  <si>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</si>
  <si>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</si>
  <si>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</si>
  <si>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</si>
  <si>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</si>
  <si>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</si>
  <si>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</si>
  <si>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</si>
  <si>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</si>
  <si>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</si>
  <si>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</si>
  <si>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</si>
  <si>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</si>
  <si>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</si>
  <si>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</si>
  <si>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</si>
  <si>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</si>
  <si>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</si>
  <si>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</si>
  <si>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</si>
  <si>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</si>
  <si>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</si>
  <si>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</si>
  <si>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</si>
  <si>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</si>
  <si>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</si>
  <si>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</si>
  <si>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</si>
  <si>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</si>
  <si>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</si>
  <si>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</si>
  <si>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</si>
  <si>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</si>
  <si>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</si>
  <si>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</si>
  <si>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</si>
  <si>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</si>
  <si>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</si>
  <si>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</si>
  <si>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</si>
  <si>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</si>
  <si>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</si>
  <si>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</si>
  <si>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</si>
  <si>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</si>
  <si>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</si>
  <si>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</si>
  <si>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</si>
  <si>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</si>
  <si>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</si>
  <si>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</si>
  <si>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</si>
  <si>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</si>
  <si>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</si>
  <si>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</si>
  <si>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</si>
  <si>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</si>
  <si>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</si>
  <si>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</si>
  <si>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</si>
  <si>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</si>
  <si>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</si>
  <si>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</si>
  <si>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</si>
  <si>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</si>
  <si>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</si>
  <si>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</si>
  <si>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</si>
  <si>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</si>
  <si>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</si>
  <si>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</si>
  <si>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</si>
  <si>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</si>
  <si>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</si>
  <si>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</si>
  <si>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</si>
  <si>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</si>
  <si>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</si>
  <si>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</si>
  <si>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</si>
  <si>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</si>
  <si>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</si>
  <si>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</si>
  <si>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</si>
  <si>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</si>
  <si>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</si>
  <si>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</si>
  <si>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</si>
  <si>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</si>
  <si>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</si>
  <si>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</si>
  <si>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</si>
  <si>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</si>
  <si>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</si>
  <si>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</si>
  <si>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</si>
  <si>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</si>
  <si>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</si>
  <si>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</si>
  <si>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</si>
  <si>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</si>
  <si>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</si>
  <si>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</si>
  <si>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</si>
  <si>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</si>
  <si>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</si>
  <si>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</si>
  <si>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</si>
  <si>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</si>
  <si>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</si>
  <si>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</si>
  <si>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</si>
  <si>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</si>
  <si>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</si>
  <si>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</si>
  <si>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</si>
  <si>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</si>
  <si>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</si>
  <si>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</si>
  <si>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</si>
  <si>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</si>
  <si>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</si>
  <si>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</si>
  <si>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</si>
  <si>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</si>
  <si>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</si>
  <si>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</si>
  <si>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</si>
  <si>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</si>
  <si>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</si>
  <si>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</si>
  <si>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</si>
  <si>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</si>
  <si>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</si>
  <si>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</si>
  <si>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</si>
  <si>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</si>
  <si>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</si>
  <si>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</si>
  <si>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</si>
  <si>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</si>
  <si>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</si>
  <si>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</si>
  <si>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</si>
  <si>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</si>
  <si>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</si>
  <si>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</si>
  <si>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</si>
  <si>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</si>
  <si>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</si>
  <si>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</si>
  <si>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</si>
  <si>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</si>
  <si>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</si>
  <si>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</si>
  <si>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</si>
  <si>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</si>
  <si>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</si>
  <si>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</si>
  <si>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</si>
  <si>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</si>
  <si>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</si>
  <si>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</si>
  <si>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</si>
  <si>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</si>
  <si>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</si>
  <si>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</si>
  <si>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</si>
  <si>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</si>
  <si>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</si>
  <si>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</si>
  <si>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</si>
  <si>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</si>
  <si>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</si>
  <si>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</si>
  <si>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</si>
  <si>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</si>
  <si>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</si>
  <si>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</si>
  <si>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</si>
  <si>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</si>
  <si>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</si>
  <si>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</si>
  <si>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</si>
  <si>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</si>
  <si>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</si>
  <si>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</si>
  <si>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</si>
  <si>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</si>
  <si>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</si>
  <si>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</si>
  <si>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</si>
  <si>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</si>
  <si>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</si>
  <si>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</si>
  <si>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</si>
  <si>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</si>
  <si>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</si>
  <si>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</si>
  <si>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</si>
  <si>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</si>
  <si>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</si>
  <si>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</si>
  <si>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</si>
  <si>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</si>
  <si>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</si>
  <si>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</si>
  <si>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</si>
  <si>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</si>
  <si>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</si>
  <si>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</si>
  <si>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</si>
  <si>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</si>
  <si>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</si>
  <si>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</si>
  <si>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</si>
  <si>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</si>
  <si>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</si>
  <si>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</si>
  <si>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</si>
  <si>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</si>
  <si>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</si>
  <si>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</si>
  <si>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</si>
  <si>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</si>
  <si>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</si>
  <si>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</si>
  <si>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</si>
  <si>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</si>
  <si>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</si>
  <si>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</si>
  <si>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</si>
  <si>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</si>
  <si>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</si>
  <si>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</si>
  <si>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</si>
  <si>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</si>
  <si>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</si>
  <si>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</si>
  <si>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</si>
  <si>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</si>
  <si>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</si>
  <si>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</si>
  <si>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</si>
  <si>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</si>
  <si>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</si>
  <si>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</si>
  <si>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</si>
  <si>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</si>
  <si>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</si>
  <si>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</si>
  <si>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</si>
  <si>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</si>
  <si>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</si>
  <si>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</si>
  <si>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</si>
  <si>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</si>
  <si>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</si>
  <si>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</si>
  <si>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</si>
  <si>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</si>
  <si>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</si>
  <si>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</si>
  <si>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</si>
  <si>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</si>
  <si>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</si>
  <si>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</si>
  <si>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</si>
  <si>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</si>
  <si>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</si>
  <si>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</si>
  <si>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</si>
  <si>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</si>
  <si>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</si>
  <si>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</si>
  <si>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</si>
  <si>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</si>
  <si>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</si>
  <si>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</si>
  <si>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</si>
  <si>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</si>
  <si>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</si>
  <si>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</si>
  <si>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</si>
  <si>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</si>
  <si>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</si>
  <si>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</si>
  <si>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</si>
  <si>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</si>
  <si>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</si>
  <si>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</si>
  <si>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</si>
  <si>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</si>
  <si>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</si>
  <si>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</si>
  <si>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</si>
  <si>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</si>
  <si>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</si>
  <si>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</si>
  <si>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</si>
  <si>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</si>
  <si>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</si>
  <si>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</si>
  <si>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</si>
  <si>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</si>
  <si>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</si>
  <si>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</si>
  <si>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</si>
  <si>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</si>
  <si>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</si>
  <si>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</si>
  <si>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</si>
  <si>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</si>
  <si>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</si>
  <si>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</si>
  <si>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</si>
  <si>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</si>
  <si>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</si>
  <si>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</si>
  <si>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</si>
  <si>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</si>
  <si>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</si>
  <si>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</si>
  <si>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</si>
  <si>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</si>
  <si>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</si>
  <si>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</si>
  <si>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</si>
  <si>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</si>
  <si>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</si>
  <si>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</si>
  <si>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</si>
  <si>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</si>
  <si>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</si>
  <si>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</si>
  <si>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</si>
  <si>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</si>
  <si>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</si>
  <si>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</si>
  <si>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</si>
  <si>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</si>
  <si>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</si>
  <si>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</si>
  <si>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</si>
  <si>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</si>
  <si>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</si>
  <si>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</si>
  <si>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</si>
  <si>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</si>
  <si>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</si>
  <si>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</si>
  <si>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</si>
  <si>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</si>
  <si>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</si>
  <si>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</si>
  <si>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</si>
  <si>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</si>
  <si>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</si>
  <si>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</si>
  <si>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</si>
  <si>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</si>
  <si>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</si>
  <si>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</si>
  <si>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</si>
  <si>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</si>
  <si>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</si>
  <si>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</si>
  <si>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</si>
  <si>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</si>
  <si>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</si>
  <si>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</si>
  <si>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</si>
  <si>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</si>
  <si>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</si>
  <si>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</si>
  <si>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</si>
  <si>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</si>
  <si>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</si>
  <si>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</si>
  <si>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</si>
  <si>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</si>
  <si>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</si>
  <si>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</si>
  <si>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</si>
  <si>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</si>
  <si>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</si>
  <si>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</si>
  <si>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</si>
  <si>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</si>
  <si>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</si>
  <si>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</si>
  <si>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</si>
  <si>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</si>
  <si>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</si>
  <si>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</si>
  <si>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</si>
  <si>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</si>
  <si>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</si>
  <si>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</si>
  <si>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</si>
  <si>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</si>
  <si>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</si>
  <si>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</si>
  <si>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</si>
  <si>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</si>
  <si>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</si>
  <si>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</si>
  <si>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</si>
  <si>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</si>
  <si>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</si>
  <si>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</si>
  <si>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</si>
  <si>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</si>
  <si>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</si>
  <si>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</si>
  <si>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</si>
  <si>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</si>
  <si>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</si>
  <si>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</si>
  <si>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</si>
  <si>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</si>
  <si>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</si>
  <si>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</si>
  <si>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</si>
  <si>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</si>
  <si>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</si>
  <si>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</si>
  <si>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</si>
  <si>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</si>
  <si>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</si>
  <si>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</si>
  <si>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</si>
  <si>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</si>
  <si>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</si>
  <si>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</si>
  <si>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</si>
  <si>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</si>
  <si>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</si>
  <si>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</si>
  <si>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</si>
  <si>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</si>
  <si>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</si>
  <si>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</si>
  <si>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</si>
  <si>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</si>
  <si>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</si>
  <si>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</si>
  <si>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</si>
  <si>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</si>
  <si>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</si>
  <si>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</si>
  <si>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</si>
  <si>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</si>
  <si>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</si>
  <si>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</si>
  <si>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</si>
  <si>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</si>
  <si>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</si>
  <si>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</si>
  <si>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</si>
  <si>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</si>
  <si>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</si>
  <si>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</si>
  <si>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</si>
  <si>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</si>
  <si>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</si>
  <si>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</si>
  <si>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</si>
  <si>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</si>
  <si>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</si>
  <si>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</si>
  <si>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</si>
  <si>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</si>
  <si>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</si>
  <si>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</si>
  <si>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</si>
  <si>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</si>
  <si>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</si>
  <si>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</si>
  <si>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</si>
  <si>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</si>
  <si>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</si>
  <si>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</si>
  <si>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</si>
  <si>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</si>
  <si>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</si>
  <si>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</si>
  <si>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</si>
  <si>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</si>
  <si>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</si>
  <si>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</si>
  <si>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</si>
  <si>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</si>
  <si>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</si>
  <si>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</si>
  <si>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</si>
  <si>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</si>
  <si>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</si>
  <si>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</si>
  <si>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</si>
  <si>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</si>
  <si>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</si>
  <si>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</si>
  <si>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</si>
  <si>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</si>
  <si>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</si>
  <si>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</si>
  <si>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</si>
  <si>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</si>
  <si>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</si>
  <si>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</si>
  <si>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</si>
  <si>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</si>
  <si>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</si>
  <si>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</si>
  <si>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</si>
  <si>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</si>
  <si>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</si>
  <si>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</si>
  <si>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</si>
  <si>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</si>
  <si>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</si>
  <si>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</si>
  <si>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</si>
  <si>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</si>
  <si>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</si>
  <si>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</si>
  <si>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</si>
  <si>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</si>
  <si>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</si>
  <si>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</si>
  <si>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</si>
  <si>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</si>
  <si>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</si>
  <si>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</si>
  <si>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</si>
  <si>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</si>
  <si>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</si>
  <si>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</si>
  <si>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</si>
  <si>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</si>
  <si>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</si>
  <si>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</si>
  <si>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</si>
  <si>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</si>
  <si>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</si>
  <si>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</si>
  <si>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</si>
  <si>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</si>
  <si>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</si>
  <si>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</si>
  <si>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</si>
  <si>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</si>
  <si>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</si>
  <si>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</si>
  <si>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</si>
  <si>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</si>
  <si>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</si>
  <si>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</si>
  <si>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</si>
  <si>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</si>
  <si>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</si>
  <si>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</si>
  <si>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</si>
  <si>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</si>
  <si>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</si>
  <si>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</si>
  <si>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</si>
  <si>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</si>
  <si>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</si>
  <si>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</si>
  <si>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</si>
  <si>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</si>
  <si>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</si>
  <si>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</si>
  <si>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</si>
  <si>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</si>
  <si>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</si>
  <si>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</si>
  <si>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</si>
  <si>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</si>
  <si>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</si>
  <si>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</si>
  <si>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</si>
  <si>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</si>
  <si>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</si>
  <si>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</si>
  <si>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</si>
  <si>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</si>
  <si>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</si>
  <si>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</si>
  <si>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</si>
  <si>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</si>
  <si>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</si>
  <si>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</si>
  <si>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</si>
  <si>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</si>
  <si>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</si>
  <si>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</si>
  <si>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</si>
  <si>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</si>
  <si>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</si>
  <si>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</si>
  <si>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</si>
  <si>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</si>
  <si>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</si>
  <si>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</si>
  <si>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</si>
  <si>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</si>
  <si>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</si>
  <si>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</si>
  <si>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</si>
  <si>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</si>
  <si>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</si>
  <si>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</si>
  <si>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</si>
  <si>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</si>
  <si>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</si>
  <si>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</si>
  <si>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</si>
  <si>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</si>
  <si>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</si>
  <si>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</si>
  <si>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</si>
  <si>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</si>
  <si>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</si>
  <si>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</si>
  <si>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</si>
  <si>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</si>
  <si>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</si>
  <si>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</si>
  <si>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</si>
  <si>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</si>
  <si>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</si>
  <si>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</si>
  <si>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</si>
  <si>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</si>
  <si>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</si>
  <si>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</si>
  <si>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</si>
  <si>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</si>
  <si>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</si>
  <si>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</si>
  <si>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</si>
  <si>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</si>
  <si>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</si>
  <si>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</si>
  <si>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</si>
  <si>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</si>
  <si>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</si>
  <si>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</si>
  <si>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</si>
  <si>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</si>
  <si>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</si>
  <si>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</si>
  <si>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</si>
  <si>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</si>
  <si>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</si>
  <si>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</si>
  <si>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</si>
  <si>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</si>
  <si>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</si>
  <si>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</si>
  <si>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</si>
  <si>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</si>
  <si>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</si>
  <si>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</si>
  <si>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</si>
  <si>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</si>
  <si>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</si>
  <si>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</si>
  <si>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</si>
  <si>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</si>
  <si>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</si>
  <si>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</si>
  <si>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</si>
  <si>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</si>
  <si>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</si>
  <si>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</si>
  <si>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</si>
  <si>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</si>
  <si>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</si>
  <si>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</si>
  <si>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</si>
  <si>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</si>
  <si>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</si>
  <si>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</si>
  <si>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</si>
  <si>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</si>
  <si>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</si>
  <si>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</si>
  <si>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</si>
  <si>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</si>
  <si>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</si>
  <si>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</si>
  <si>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</si>
  <si>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</si>
  <si>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</si>
  <si>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</si>
  <si>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</si>
  <si>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</si>
  <si>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</si>
  <si>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</si>
  <si>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</si>
  <si>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</si>
  <si>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</si>
  <si>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</si>
  <si>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</si>
  <si>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</si>
  <si>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</si>
  <si>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</si>
  <si>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</si>
  <si>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</si>
  <si>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</si>
  <si>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</si>
  <si>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</si>
  <si>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</si>
  <si>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</si>
  <si>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</si>
  <si>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</si>
  <si>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</si>
  <si>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</si>
  <si>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</si>
  <si>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</si>
  <si>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</si>
  <si>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</si>
  <si>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</si>
  <si>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</si>
  <si>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</si>
  <si>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</si>
  <si>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</si>
  <si>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</si>
  <si>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</si>
  <si>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</si>
  <si>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</si>
  <si>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</si>
  <si>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</si>
  <si>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</si>
  <si>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</si>
  <si>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</si>
  <si>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</si>
  <si>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</si>
  <si>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</si>
  <si>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</si>
  <si>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</si>
  <si>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</si>
  <si>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</si>
  <si>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</si>
  <si>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</si>
  <si>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</si>
  <si>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</si>
  <si>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</si>
  <si>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</si>
  <si>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</si>
  <si>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</si>
  <si>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</si>
  <si>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</si>
  <si>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</si>
  <si>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</si>
  <si>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</si>
  <si>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</si>
  <si>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</si>
  <si>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</si>
  <si>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</si>
  <si>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</si>
  <si>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</si>
  <si>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</si>
  <si>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</si>
  <si>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</si>
  <si>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</si>
  <si>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</si>
  <si>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</si>
  <si>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</si>
  <si>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</si>
  <si>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</si>
  <si>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</si>
  <si>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</si>
  <si>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</si>
  <si>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</si>
  <si>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</si>
  <si>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</si>
  <si>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</si>
  <si>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</si>
  <si>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</si>
  <si>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</si>
  <si>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</si>
  <si>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</si>
  <si>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</si>
  <si>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</si>
  <si>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</si>
  <si>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</si>
  <si>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</si>
  <si>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</si>
  <si>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</si>
  <si>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</si>
  <si>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</si>
  <si>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</si>
  <si>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</si>
  <si>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</si>
  <si>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</si>
  <si>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</si>
  <si>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</si>
  <si>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</si>
  <si>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</si>
  <si>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</si>
  <si>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</si>
  <si>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</si>
  <si>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</si>
  <si>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</si>
  <si>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</si>
  <si>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</si>
  <si>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</si>
  <si>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</si>
  <si>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</si>
  <si>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</si>
  <si>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</si>
  <si>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</si>
  <si>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</si>
  <si>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</si>
  <si>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</si>
  <si>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</si>
  <si>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</si>
  <si>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</si>
  <si>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</si>
  <si>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</si>
  <si>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</si>
  <si>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</si>
  <si>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</si>
  <si>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</si>
  <si>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</si>
  <si>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</si>
  <si>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</si>
  <si>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</si>
  <si>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</si>
  <si>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</si>
  <si>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</si>
  <si>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</si>
  <si>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</si>
  <si>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</si>
  <si>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</si>
  <si>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</si>
  <si>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</si>
  <si>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</si>
  <si>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</si>
  <si>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</si>
  <si>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</si>
  <si>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</si>
  <si>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</si>
  <si>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</si>
  <si>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</si>
  <si>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</si>
  <si>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</si>
  <si>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</si>
  <si>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</si>
  <si>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</si>
  <si>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</si>
  <si>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</si>
  <si>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</si>
  <si>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</si>
  <si>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</si>
  <si>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</si>
  <si>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</si>
  <si>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</si>
  <si>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</si>
  <si>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</si>
  <si>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</si>
  <si>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</si>
  <si>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</si>
  <si>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</si>
  <si>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</si>
  <si>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</si>
  <si>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</si>
  <si>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</si>
  <si>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</si>
  <si>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</si>
  <si>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</si>
  <si>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</si>
  <si>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</si>
  <si>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</si>
  <si>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</si>
  <si>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</si>
  <si>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</si>
  <si>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</si>
  <si>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</si>
  <si>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</si>
  <si>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</si>
  <si>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</si>
  <si>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</si>
  <si>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</si>
  <si>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</si>
  <si>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</si>
  <si>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</si>
  <si>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</si>
  <si>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</si>
  <si>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</si>
  <si>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</si>
  <si>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</si>
  <si>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</si>
  <si>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</si>
  <si>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</si>
  <si>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</si>
  <si>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</si>
  <si>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</si>
  <si>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</si>
  <si>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</si>
  <si>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</si>
  <si>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</si>
  <si>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</si>
  <si>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</si>
  <si>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</si>
  <si>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</si>
  <si>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</si>
  <si>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</si>
  <si>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</si>
  <si>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</si>
  <si>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</si>
  <si>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</si>
  <si>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</si>
  <si>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</si>
  <si>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</si>
  <si>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</si>
  <si>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</si>
  <si>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</si>
  <si>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</si>
  <si>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</si>
  <si>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</si>
  <si>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</si>
  <si>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</si>
  <si>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</si>
  <si>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</si>
  <si>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</si>
  <si>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</si>
  <si>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</si>
  <si>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</si>
  <si>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</si>
  <si>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</si>
  <si>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</si>
  <si>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</si>
  <si>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</si>
  <si>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</si>
  <si>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</si>
  <si>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</si>
  <si>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</si>
  <si>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</si>
  <si>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</si>
  <si>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</si>
  <si>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</si>
  <si>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</si>
  <si>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</si>
  <si>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</si>
  <si>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</si>
  <si>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</si>
  <si>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</si>
  <si>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</si>
  <si>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</si>
  <si>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</si>
  <si>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</si>
  <si>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</si>
  <si>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</si>
  <si>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</si>
  <si>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</si>
  <si>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</si>
  <si>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</si>
  <si>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</si>
  <si>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</si>
  <si>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</si>
  <si>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</si>
  <si>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</si>
  <si>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</si>
  <si>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</si>
  <si>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</si>
  <si>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</si>
  <si>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</si>
  <si>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</si>
  <si>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</si>
  <si>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</si>
  <si>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</si>
  <si>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</si>
  <si>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</si>
  <si>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</si>
  <si>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</si>
  <si>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</si>
  <si>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</si>
  <si>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</si>
  <si>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</si>
  <si>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</si>
  <si>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</si>
  <si>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</si>
  <si>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</si>
  <si>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</si>
  <si>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</si>
  <si>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</si>
  <si>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</si>
  <si>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</si>
  <si>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</si>
  <si>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</si>
  <si>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</si>
  <si>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</si>
  <si>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</si>
  <si>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</si>
  <si>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</si>
  <si>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</si>
  <si>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</si>
  <si>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</si>
  <si>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</si>
  <si>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</si>
  <si>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</si>
  <si>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</si>
  <si>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</si>
  <si>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</si>
  <si>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</si>
  <si>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</si>
  <si>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</si>
  <si>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</si>
  <si>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</si>
  <si>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</si>
  <si>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</si>
  <si>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</si>
  <si>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</si>
  <si>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</si>
  <si>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</si>
  <si>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</si>
  <si>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</si>
  <si>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</si>
  <si>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</si>
  <si>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</si>
  <si>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</si>
  <si>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</si>
  <si>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</si>
  <si>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</si>
  <si>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</si>
  <si>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</si>
  <si>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</si>
  <si>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</si>
  <si>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</si>
  <si>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</si>
  <si>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</si>
  <si>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</si>
  <si>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</si>
  <si>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</si>
  <si>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</si>
  <si>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</si>
  <si>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</si>
  <si>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</si>
  <si>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</si>
  <si>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</si>
  <si>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</si>
  <si>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</si>
  <si>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</si>
  <si>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</si>
  <si>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</si>
  <si>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</si>
  <si>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</si>
  <si>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</si>
  <si>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</si>
  <si>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</si>
  <si>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</si>
  <si>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</si>
  <si>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</si>
  <si>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</si>
  <si>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</si>
  <si>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</si>
  <si>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</si>
  <si>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</si>
  <si>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</si>
  <si>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</si>
  <si>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</si>
  <si>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</si>
  <si>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</si>
  <si>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</si>
  <si>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</si>
  <si>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</si>
  <si>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</si>
  <si>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</si>
  <si>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</si>
  <si>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</si>
  <si>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</si>
  <si>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</si>
  <si>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</si>
  <si>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</si>
  <si>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</si>
  <si>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</si>
  <si>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</si>
  <si>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</si>
  <si>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</si>
  <si>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</si>
  <si>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</si>
  <si>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</si>
  <si>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</si>
  <si>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</si>
  <si>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</si>
  <si>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</si>
  <si>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</si>
  <si>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</si>
  <si>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</si>
  <si>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</si>
  <si>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</si>
  <si>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</si>
  <si>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</si>
  <si>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</si>
  <si>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</si>
  <si>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</si>
  <si>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</si>
  <si>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</si>
  <si>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</si>
  <si>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</si>
  <si>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</si>
  <si>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</si>
  <si>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</si>
  <si>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</si>
  <si>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</si>
  <si>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</si>
  <si>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</si>
  <si>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</si>
  <si>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</si>
  <si>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</si>
  <si>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</si>
  <si>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</si>
  <si>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</si>
  <si>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</si>
  <si>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</si>
  <si>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</si>
  <si>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</si>
  <si>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</si>
  <si>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</si>
  <si>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</si>
  <si>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</si>
  <si>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</si>
  <si>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</si>
  <si>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</si>
  <si>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</si>
  <si>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</si>
  <si>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</si>
  <si>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</si>
  <si>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</si>
  <si>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</si>
  <si>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</si>
  <si>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</si>
  <si>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</si>
  <si>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</si>
  <si>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</si>
  <si>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</si>
  <si>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</si>
  <si>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</si>
  <si>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</si>
  <si>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</si>
  <si>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</si>
  <si>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</si>
  <si>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</si>
  <si>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</si>
  <si>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</si>
  <si>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</si>
  <si>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</si>
  <si>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</si>
  <si>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</si>
  <si>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</si>
  <si>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</si>
  <si>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</si>
  <si>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</si>
  <si>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</si>
  <si>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</si>
  <si>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</si>
  <si>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</si>
  <si>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</si>
  <si>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</si>
  <si>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</si>
  <si>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</si>
  <si>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</si>
  <si>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</si>
  <si>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</si>
  <si>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</si>
  <si>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</si>
  <si>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</si>
  <si>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</si>
  <si>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</si>
  <si>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</si>
  <si>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</si>
  <si>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</si>
  <si>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</si>
  <si>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</si>
  <si>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</si>
  <si>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</si>
  <si>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</si>
  <si>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</si>
  <si>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</si>
  <si>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</si>
  <si>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</si>
  <si>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</si>
  <si>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</si>
  <si>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</si>
  <si>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</si>
  <si>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</si>
  <si>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</si>
  <si>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</si>
  <si>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</si>
  <si>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</si>
  <si>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</si>
  <si>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</si>
  <si>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</si>
  <si>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</si>
  <si>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</si>
  <si>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</si>
  <si>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</si>
  <si>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</si>
  <si>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</si>
  <si>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</si>
  <si>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</si>
  <si>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</si>
  <si>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</si>
  <si>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</si>
  <si>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</si>
  <si>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</si>
  <si>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</si>
  <si>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</si>
  <si>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</si>
  <si>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</si>
  <si>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</si>
  <si>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</si>
  <si>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</si>
  <si>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</si>
  <si>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</si>
  <si>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</si>
  <si>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</si>
  <si>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</si>
  <si>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</si>
  <si>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</si>
  <si>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</si>
  <si>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</si>
  <si>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</si>
  <si>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</si>
  <si>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</si>
  <si>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</si>
  <si>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</si>
  <si>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</si>
  <si>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</si>
  <si>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</si>
  <si>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</si>
  <si>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</si>
  <si>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</si>
  <si>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</si>
  <si>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</si>
  <si>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</si>
  <si>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</si>
  <si>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</si>
  <si>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</si>
  <si>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</si>
  <si>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</si>
  <si>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</si>
  <si>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</si>
  <si>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</si>
  <si>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</si>
  <si>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</si>
  <si>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</si>
  <si>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</si>
  <si>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</si>
  <si>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</si>
  <si>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</si>
  <si>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</si>
  <si>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</si>
  <si>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</si>
  <si>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</si>
  <si>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</si>
  <si>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</si>
  <si>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</si>
  <si>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</si>
  <si>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</si>
  <si>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</si>
  <si>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</si>
  <si>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</si>
  <si>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</si>
  <si>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</si>
  <si>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</si>
  <si>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</si>
  <si>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</si>
  <si>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</si>
  <si>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</si>
  <si>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</si>
  <si>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</si>
  <si>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</si>
  <si>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</si>
  <si>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</si>
  <si>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</si>
  <si>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</si>
  <si>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</si>
  <si>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</si>
  <si>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</si>
  <si>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</si>
  <si>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</si>
  <si>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</si>
  <si>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</si>
  <si>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</si>
  <si>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</si>
  <si>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</si>
  <si>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</si>
  <si>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</si>
  <si>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</si>
  <si>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</si>
  <si>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</si>
  <si>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</si>
  <si>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</si>
  <si>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</si>
  <si>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</si>
  <si>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</si>
  <si>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</si>
  <si>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</si>
  <si>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</si>
  <si>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</si>
  <si>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</si>
  <si>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</si>
  <si>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</si>
  <si>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</si>
  <si>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</si>
  <si>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</si>
  <si>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</si>
  <si>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</si>
  <si>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</si>
  <si>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</si>
  <si>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</si>
  <si>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</si>
  <si>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</si>
  <si>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</si>
  <si>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</si>
  <si>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</si>
  <si>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</si>
  <si>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</si>
  <si>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</si>
  <si>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</si>
  <si>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</si>
  <si>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</si>
  <si>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</si>
  <si>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</si>
  <si>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</si>
  <si>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</si>
  <si>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</si>
  <si>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</si>
  <si>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</si>
  <si>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</si>
  <si>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</si>
  <si>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</si>
  <si>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</si>
  <si>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</si>
  <si>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</si>
  <si>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</si>
  <si>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</si>
  <si>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</si>
  <si>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</si>
  <si>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</si>
  <si>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</si>
  <si>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</si>
  <si>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</si>
  <si>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</si>
  <si>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</si>
  <si>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</si>
  <si>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</si>
  <si>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</si>
  <si>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</si>
  <si>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</si>
  <si>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</si>
  <si>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</si>
  <si>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</si>
  <si>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</si>
  <si>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</si>
  <si>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</si>
  <si>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</si>
  <si>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</si>
  <si>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</si>
  <si>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</si>
  <si>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</si>
  <si>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</si>
  <si>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</si>
  <si>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</si>
  <si>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</si>
  <si>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</si>
  <si>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</si>
  <si>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</si>
  <si>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</si>
  <si>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</si>
  <si>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</si>
  <si>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</si>
  <si>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</si>
  <si>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</si>
  <si>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</si>
  <si>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</si>
  <si>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</si>
  <si>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</si>
  <si>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</si>
  <si>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</si>
  <si>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</si>
  <si>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</si>
  <si>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</si>
  <si>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</si>
  <si>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</si>
  <si>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</si>
  <si>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</si>
  <si>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</si>
  <si>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</si>
  <si>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</si>
  <si>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</si>
  <si>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</si>
  <si>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</si>
  <si>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</si>
  <si>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</si>
  <si>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</si>
  <si>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</si>
  <si>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</si>
  <si>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</si>
  <si>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</si>
  <si>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</si>
  <si>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</si>
  <si>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</si>
  <si>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</si>
  <si>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</si>
  <si>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</si>
  <si>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</si>
  <si>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</si>
  <si>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</si>
  <si>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</si>
  <si>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</si>
  <si>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</si>
  <si>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</si>
  <si>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</si>
  <si>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</si>
  <si>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</si>
  <si>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</si>
  <si>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</si>
  <si>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</si>
  <si>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</si>
  <si>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</si>
  <si>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</si>
  <si>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</si>
  <si>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</si>
  <si>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</si>
  <si>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</si>
  <si>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</si>
  <si>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</si>
  <si>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</si>
  <si>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</si>
  <si>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</si>
  <si>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</si>
  <si>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</si>
  <si>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</si>
  <si>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</si>
  <si>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</si>
  <si>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</si>
  <si>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</si>
  <si>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</si>
  <si>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</si>
  <si>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</si>
  <si>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</si>
  <si>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</si>
  <si>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</si>
  <si>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</si>
  <si>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</si>
  <si>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</si>
  <si>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</si>
  <si>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</si>
  <si>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</si>
  <si>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</si>
  <si>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</si>
  <si>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</si>
  <si>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</si>
  <si>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</si>
  <si>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</si>
  <si>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</si>
  <si>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</si>
  <si>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</si>
  <si>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</si>
  <si>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</si>
  <si>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</si>
  <si>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</si>
  <si>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</si>
  <si>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</si>
  <si>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</si>
  <si>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</si>
  <si>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</si>
  <si>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</si>
  <si>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</si>
  <si>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</si>
  <si>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</si>
  <si>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</si>
  <si>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</si>
  <si>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</si>
  <si>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</si>
  <si>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</si>
  <si>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</si>
  <si>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</si>
  <si>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</si>
  <si>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</si>
  <si>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</si>
  <si>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</si>
  <si>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</si>
  <si>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</si>
  <si>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</si>
  <si>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</si>
  <si>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</si>
  <si>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</si>
  <si>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</si>
  <si>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</si>
  <si>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</si>
  <si>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</si>
  <si>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</si>
  <si>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</si>
  <si>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</si>
  <si>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</si>
  <si>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</si>
  <si>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</si>
  <si>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</si>
  <si>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</si>
  <si>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</si>
  <si>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</si>
  <si>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</si>
  <si>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</si>
  <si>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</si>
  <si>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</si>
  <si>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</si>
  <si>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</si>
  <si>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</si>
  <si>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</si>
  <si>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</si>
  <si>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</si>
  <si>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</si>
  <si>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</si>
  <si>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</si>
  <si>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</si>
  <si>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</si>
  <si>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</si>
  <si>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</si>
  <si>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</si>
  <si>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</si>
  <si>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</si>
  <si>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</si>
  <si>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</si>
  <si>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</si>
  <si>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</si>
  <si>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</si>
  <si>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</si>
  <si>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</si>
  <si>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</si>
  <si>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</si>
  <si>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</si>
  <si>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</si>
  <si>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</si>
  <si>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</si>
  <si>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</si>
  <si>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</si>
  <si>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</si>
  <si>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</si>
  <si>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</si>
  <si>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</si>
  <si>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</si>
  <si>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</si>
  <si>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</si>
  <si>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</si>
  <si>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</si>
  <si>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</si>
  <si>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</si>
  <si>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</si>
  <si>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</si>
  <si>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</si>
  <si>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</si>
  <si>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</si>
  <si>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</si>
  <si>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</si>
  <si>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</si>
  <si>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</si>
  <si>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</si>
  <si>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</si>
  <si>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</si>
  <si>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</si>
  <si>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</si>
  <si>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</si>
  <si>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</si>
  <si>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</si>
  <si>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</si>
  <si>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</si>
  <si>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</si>
  <si>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</si>
  <si>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</si>
  <si>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</si>
  <si>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</si>
  <si>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</si>
  <si>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</si>
  <si>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</si>
  <si>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</si>
  <si>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</si>
  <si>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</si>
  <si>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</si>
  <si>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</si>
  <si>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</si>
  <si>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</si>
  <si>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</si>
  <si>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</si>
  <si>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</si>
  <si>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</si>
  <si>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</si>
  <si>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</si>
  <si>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</si>
  <si>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</si>
  <si>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</si>
  <si>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</si>
  <si>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</si>
  <si>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</si>
  <si>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</si>
  <si>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</si>
  <si>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</si>
  <si>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</si>
  <si>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</si>
  <si>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</si>
  <si>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</si>
  <si>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</si>
  <si>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</si>
  <si>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</si>
  <si>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</si>
  <si>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</si>
  <si>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</si>
  <si>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</si>
  <si>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</si>
  <si>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</si>
  <si>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</si>
  <si>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</si>
  <si>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</si>
  <si>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</si>
  <si>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</si>
  <si>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</si>
  <si>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</si>
  <si>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</si>
  <si>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</si>
  <si>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</si>
  <si>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</si>
  <si>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</si>
  <si>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</si>
  <si>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</si>
  <si>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</si>
  <si>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</si>
  <si>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</si>
  <si>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</si>
  <si>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</si>
  <si>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</si>
  <si>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</si>
  <si>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</si>
  <si>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</si>
  <si>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</si>
  <si>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</si>
  <si>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</si>
  <si>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</si>
  <si>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</si>
  <si>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</si>
  <si>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</si>
  <si>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</si>
  <si>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</si>
  <si>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</si>
  <si>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</si>
  <si>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</si>
  <si>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</si>
  <si>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</si>
  <si>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</si>
  <si>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</si>
  <si>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</si>
  <si>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</si>
  <si>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</si>
  <si>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</si>
  <si>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</si>
  <si>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</si>
  <si>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</si>
  <si>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</si>
  <si>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</si>
  <si>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</si>
  <si>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</si>
  <si>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</si>
  <si>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</si>
  <si>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</si>
  <si>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</si>
  <si>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</si>
  <si>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</si>
  <si>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</si>
  <si>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</si>
  <si>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</si>
  <si>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</si>
  <si>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</si>
  <si>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</si>
  <si>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</si>
  <si>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</si>
  <si>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</si>
  <si>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</si>
  <si>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</si>
  <si>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</si>
  <si>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</si>
  <si>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</si>
  <si>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</si>
  <si>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</si>
  <si>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</si>
  <si>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</si>
  <si>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</si>
  <si>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</si>
  <si>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</si>
  <si>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</si>
  <si>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</si>
  <si>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</si>
  <si>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</si>
  <si>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</si>
  <si>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</si>
  <si>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</si>
  <si>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</si>
  <si>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</si>
  <si>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</si>
  <si>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</si>
  <si>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</si>
  <si>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</si>
  <si>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</si>
  <si>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</si>
  <si>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</si>
  <si>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</si>
  <si>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</si>
  <si>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</si>
  <si>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</si>
  <si>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</si>
  <si>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</si>
  <si>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</si>
  <si>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</si>
  <si>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</si>
  <si>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</si>
  <si>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</si>
  <si>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</si>
  <si>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</si>
  <si>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</si>
  <si>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</si>
  <si>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</si>
  <si>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</si>
  <si>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</si>
  <si>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</si>
  <si>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</si>
  <si>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</si>
  <si>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</si>
  <si>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</si>
  <si>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</si>
  <si>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</si>
  <si>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</si>
  <si>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</si>
  <si>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</si>
  <si>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</si>
  <si>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</si>
  <si>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</si>
  <si>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</si>
  <si>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</si>
  <si>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</si>
  <si>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</si>
  <si>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</si>
  <si>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</si>
  <si>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</si>
  <si>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</si>
  <si>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</si>
  <si>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</si>
  <si>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</si>
  <si>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</si>
  <si>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</si>
  <si>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</si>
  <si>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</si>
  <si>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</si>
  <si>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</si>
  <si>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</si>
  <si>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</si>
  <si>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</si>
  <si>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</si>
  <si>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</si>
  <si>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</si>
  <si>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</si>
  <si>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</si>
  <si>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</si>
  <si>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</si>
  <si>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</si>
  <si>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</si>
  <si>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</si>
  <si>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</si>
  <si>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</si>
  <si>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</si>
  <si>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</si>
  <si>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</si>
  <si>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</si>
  <si>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</si>
  <si>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</si>
  <si>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</si>
  <si>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</si>
  <si>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</si>
  <si>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</si>
  <si>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</si>
  <si>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</si>
  <si>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</si>
  <si>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</si>
  <si>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</si>
  <si>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</si>
  <si>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</si>
  <si>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</si>
  <si>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</si>
  <si>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</si>
  <si>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</si>
  <si>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</si>
  <si>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</si>
  <si>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</si>
  <si>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</si>
  <si>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</si>
  <si>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</si>
  <si>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</si>
  <si>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</si>
  <si>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</si>
  <si>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</si>
  <si>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</si>
  <si>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</si>
  <si>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</si>
  <si>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</si>
  <si>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</si>
  <si>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</si>
  <si>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</si>
  <si>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</si>
  <si>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</si>
  <si>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</si>
  <si>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</si>
  <si>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</si>
  <si>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</si>
  <si>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</si>
  <si>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</si>
  <si>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</si>
  <si>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</si>
  <si>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</si>
  <si>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</si>
  <si>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</si>
  <si>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</si>
  <si>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</si>
  <si>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</si>
  <si>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</si>
  <si>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</si>
  <si>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</si>
  <si>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</si>
  <si>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</si>
  <si>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</si>
  <si>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</si>
  <si>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</si>
  <si>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</si>
  <si>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</si>
  <si>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</si>
  <si>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</si>
  <si>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</si>
  <si>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</si>
  <si>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</si>
  <si>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</si>
  <si>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</si>
  <si>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</si>
  <si>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</si>
  <si>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</si>
  <si>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</si>
  <si>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</si>
  <si>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</si>
  <si>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</si>
  <si>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</si>
  <si>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</si>
  <si>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</si>
  <si>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</si>
  <si>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</si>
  <si>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</si>
  <si>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</si>
  <si>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</si>
  <si>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</si>
  <si>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</si>
  <si>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</si>
  <si>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</si>
  <si>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</si>
  <si>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</si>
  <si>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</si>
  <si>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</si>
  <si>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</si>
  <si>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</si>
  <si>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</si>
  <si>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</si>
  <si>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</si>
  <si>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</si>
  <si>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</si>
  <si>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</si>
  <si>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</si>
  <si>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</si>
  <si>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</si>
  <si>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</si>
  <si>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</si>
  <si>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</si>
  <si>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</si>
  <si>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</si>
  <si>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</si>
  <si>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</si>
  <si>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</si>
  <si>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</si>
  <si>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</si>
  <si>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</si>
  <si>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</si>
  <si>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</si>
  <si>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</si>
  <si>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</si>
  <si>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</si>
  <si>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</si>
  <si>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</si>
  <si>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</si>
  <si>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</si>
  <si>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</si>
  <si>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</si>
  <si>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</si>
  <si>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</si>
  <si>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</si>
  <si>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</si>
  <si>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</si>
  <si>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</si>
  <si>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</si>
  <si>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</si>
  <si>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</si>
  <si>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</si>
  <si>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</si>
  <si>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</si>
  <si>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</si>
  <si>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</si>
  <si>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</si>
  <si>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</si>
  <si>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</si>
  <si>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</si>
  <si>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</si>
  <si>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</si>
  <si>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</si>
  <si>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</si>
  <si>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</si>
  <si>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</si>
  <si>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</si>
  <si>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</si>
  <si>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</si>
  <si>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</si>
  <si>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</si>
  <si>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</si>
  <si>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</si>
  <si>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</si>
  <si>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</si>
  <si>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</si>
  <si>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</si>
  <si>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</si>
  <si>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</si>
  <si>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</si>
  <si>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</si>
  <si>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</si>
  <si>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</si>
  <si>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</si>
  <si>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</si>
  <si>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</si>
  <si>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</si>
  <si>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</si>
  <si>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</si>
  <si>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</si>
  <si>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</si>
  <si>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</si>
  <si>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</si>
  <si>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</si>
  <si>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</si>
  <si>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</si>
  <si>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</si>
  <si>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</si>
  <si>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</si>
  <si>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</si>
  <si>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</si>
  <si>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</si>
  <si>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</si>
  <si>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</si>
  <si>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</si>
  <si>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</si>
  <si>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</si>
  <si>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</si>
  <si>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</si>
  <si>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</si>
  <si>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</si>
  <si>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</si>
  <si>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</si>
  <si>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</si>
  <si>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</si>
  <si>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</si>
  <si>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</si>
  <si>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</si>
  <si>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</si>
  <si>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</si>
  <si>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</si>
  <si>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</si>
  <si>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</si>
  <si>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</si>
  <si>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</si>
  <si>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</si>
  <si>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</si>
  <si>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</si>
  <si>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</si>
  <si>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</si>
  <si>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</si>
  <si>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</si>
  <si>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</si>
  <si>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</si>
  <si>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</si>
  <si>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</si>
  <si>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</si>
  <si>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</si>
  <si>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</si>
  <si>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</si>
  <si>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</si>
  <si>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</si>
  <si>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</si>
  <si>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</si>
  <si>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</si>
  <si>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</si>
  <si>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</si>
  <si>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</si>
  <si>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</si>
  <si>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</si>
  <si>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</si>
  <si>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</si>
  <si>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</si>
  <si>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</si>
  <si>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</si>
  <si>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</si>
  <si>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</si>
  <si>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</si>
  <si>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</si>
  <si>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</si>
  <si>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</si>
  <si>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</si>
  <si>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</si>
  <si>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</si>
  <si>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</si>
  <si>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</si>
  <si>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</si>
  <si>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</si>
  <si>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</si>
  <si>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</si>
  <si>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</si>
  <si>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</si>
  <si>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</si>
  <si>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</si>
  <si>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</si>
  <si>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</si>
  <si>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</si>
  <si>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</si>
  <si>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</si>
  <si>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</si>
  <si>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</si>
  <si>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</si>
  <si>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</si>
  <si>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</si>
  <si>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</si>
  <si>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</si>
  <si>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</si>
  <si>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</si>
  <si>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</si>
  <si>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</si>
  <si>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</si>
  <si>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</si>
  <si>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</si>
  <si>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</si>
  <si>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</si>
  <si>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</si>
  <si>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</si>
  <si>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</si>
  <si>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</si>
  <si>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</si>
  <si>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</si>
  <si>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</si>
  <si>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</si>
  <si>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</si>
  <si>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</si>
  <si>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</si>
  <si>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</si>
  <si>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</si>
  <si>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</si>
  <si>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</si>
  <si>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</si>
  <si>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</si>
  <si>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</si>
  <si>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</si>
  <si>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</si>
  <si>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</si>
  <si>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</si>
  <si>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</si>
  <si>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</si>
  <si>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</si>
  <si>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</si>
  <si>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</si>
  <si>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</si>
  <si>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</si>
  <si>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</si>
  <si>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</si>
  <si>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</si>
  <si>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</si>
  <si>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</si>
  <si>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</si>
  <si>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</si>
  <si>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</si>
  <si>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</si>
  <si>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</si>
  <si>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</si>
  <si>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</si>
  <si>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</si>
  <si>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</si>
  <si>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</si>
  <si>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</si>
  <si>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</si>
  <si>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</si>
  <si>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</si>
  <si>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</si>
  <si>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</si>
  <si>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</si>
  <si>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</si>
  <si>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</si>
  <si>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</si>
  <si>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</si>
  <si>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</si>
  <si>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</si>
  <si>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</si>
  <si>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</si>
  <si>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</si>
  <si>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</si>
  <si>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</si>
  <si>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</si>
  <si>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</si>
  <si>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</si>
  <si>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</si>
  <si>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</si>
  <si>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</si>
  <si>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</si>
  <si>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</si>
  <si>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</si>
  <si>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</si>
  <si>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</si>
  <si>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</si>
  <si>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</si>
  <si>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</si>
  <si>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</si>
  <si>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</si>
  <si>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</si>
  <si>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</si>
  <si>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</si>
  <si>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</si>
  <si>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</si>
  <si>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</si>
  <si>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</si>
  <si>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</si>
  <si>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</si>
  <si>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</si>
  <si>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</si>
  <si>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</si>
  <si>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</si>
  <si>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</si>
  <si>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</si>
  <si>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</si>
  <si>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</si>
  <si>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</si>
  <si>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</si>
  <si>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</si>
  <si>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</si>
  <si>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</si>
  <si>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</si>
  <si>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</si>
  <si>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</si>
  <si>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</si>
  <si>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</si>
  <si>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</si>
  <si>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</si>
  <si>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</si>
  <si>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</si>
  <si>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</si>
  <si>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</si>
  <si>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</si>
  <si>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</si>
  <si>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</si>
  <si>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</si>
  <si>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</si>
  <si>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</si>
  <si>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</si>
  <si>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</si>
  <si>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</si>
  <si>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</si>
  <si>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</si>
  <si>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</si>
  <si>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</si>
  <si>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</si>
  <si>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</si>
  <si>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</si>
  <si>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</si>
  <si>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</si>
  <si>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</si>
  <si>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</si>
  <si>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</si>
  <si>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</si>
  <si>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</si>
  <si>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</si>
  <si>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</si>
  <si>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</si>
  <si>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</si>
  <si>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</si>
  <si>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</si>
  <si>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</si>
  <si>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</si>
  <si>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</si>
  <si>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</si>
  <si>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</si>
  <si>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</si>
  <si>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</si>
  <si>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</si>
  <si>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</si>
  <si>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</si>
  <si>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</si>
  <si>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</si>
  <si>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</si>
  <si>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</si>
  <si>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</si>
  <si>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</si>
  <si>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</si>
  <si>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</si>
  <si>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</si>
  <si>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</si>
  <si>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</si>
  <si>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</si>
  <si>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</si>
  <si>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</si>
  <si>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</si>
  <si>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</si>
  <si>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</si>
  <si>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</si>
  <si>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</si>
  <si>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</si>
  <si>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</si>
  <si>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</si>
  <si>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</si>
  <si>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</si>
  <si>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</si>
  <si>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</si>
  <si>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</si>
  <si>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</si>
  <si>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</si>
  <si>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</si>
  <si>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</si>
  <si>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</si>
  <si>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</si>
  <si>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</si>
  <si>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</si>
  <si>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</si>
  <si>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</si>
  <si>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</si>
  <si>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</si>
  <si>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</si>
  <si>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</si>
  <si>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</si>
  <si>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</si>
  <si>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</si>
  <si>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</si>
  <si>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</si>
  <si>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</si>
  <si>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Row Labels</t>
  </si>
  <si>
    <t>Grand Total</t>
  </si>
  <si>
    <t>Sum of TotalPrice</t>
  </si>
  <si>
    <t>Count of OrderID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</si>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</sst>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0" fillId="0" borderId="2" xfId="0" applyBorder="1"/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(project 2).xlsx]Sheet1!PivotTable3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Sheet1!$R$160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Sheet1!$Q$161:$Q$166</c:f>
              <c:strCache>
                <c:ptCount val="5"/>
                <c:pt idx="0">
                  <c:v>Credit Card</c:v>
                </c:pt>
                <c:pt idx="1">
                  <c:v>Online</c:v>
                </c:pt>
                <c:pt idx="2">
                  <c:v>Cash</c:v>
                </c:pt>
                <c:pt idx="3">
                  <c:v>Gift Card</c:v>
                </c:pt>
                <c:pt idx="4">
                  <c:v>Debit Card</c:v>
                </c:pt>
              </c:strCache>
            </c:strRef>
          </c:cat>
          <c:val>
            <c:numRef>
              <c:f>Sheet1!$R$161:$R$166</c:f>
              <c:numCache>
                <c:formatCode>General</c:formatCode>
                <c:ptCount val="5"/>
                <c:pt idx="0">
                  <c:v>263847.62999999989</c:v>
                </c:pt>
                <c:pt idx="1">
                  <c:v>262442.94000000012</c:v>
                </c:pt>
                <c:pt idx="2">
                  <c:v>259786.28999999992</c:v>
                </c:pt>
                <c:pt idx="3">
                  <c:v>246323.9200000001</c:v>
                </c:pt>
                <c:pt idx="4">
                  <c:v>232361.17999999996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00-49A3-8E06-BA57D2C28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2896304"/>
        <c:axId val="1092906384"/>
      </c:barChart>
      <c:catAx>
        <c:axId val="109289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906384"/>
        <c:crosses val="autoZero"/>
        <c:auto val="1"/>
        <c:lblAlgn val="ctr"/>
        <c:lblOffset val="100"/>
        <c:noMultiLvlLbl val="0"/>
      </c:catAx>
      <c:valAx>
        <c:axId val="109290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89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>
      <cx:tx>
        <cx:txData>
          <cx:v>Outlier Analysis of Total price using box plot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Outlier Analysis of Total price using box plot</a:t>
          </a:r>
        </a:p>
      </cx:txPr>
    </cx:title>
    <cx:plotArea>
      <cx:plotAreaRegion>
        <cx:series layoutId="boxWhisker" uniqueId="{4DD703B7-4616-4983-B25A-FB62632AFA30}">
          <cx:tx>
            <cx:txData>
              <cx:f>_xlchart.v1.0</cx:f>
              <cx:v>Quantity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C49F27BC-29B2-4AE2-A228-C9F5D1FE44D0}">
          <cx:tx>
            <cx:txData>
              <cx:f>_xlchart.v1.2</cx:f>
              <cx:v>TotalPrice</cx:v>
            </cx:txData>
          </cx:tx>
          <cx:dataLabels>
            <cx:visibility seriesName="0" categoryName="0" value="1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Sales transactions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Sales transactions</a:t>
              </a:r>
            </a:p>
          </cx:txPr>
        </cx:title>
        <cx:majorGridlines/>
        <cx:tickLabels/>
      </cx:axis>
      <cx:axis id="1">
        <cx:valScaling/>
        <cx:title>
          <cx:tx>
            <cx:txData>
              <cx:v>Total price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Total price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  <cx:data id="1">
      <cx:numDim type="val">
        <cx:f>_xlchart.v1.7</cx:f>
      </cx:numDim>
    </cx:data>
  </cx:chartData>
  <cx:chart>
    <cx:title pos="t" align="ctr" overlay="0">
      <cx:tx>
        <cx:txData>
          <cx:v>Outlier Analysis of Total price using box plot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Outlier Analysis of Total price using box plot</a:t>
          </a:r>
        </a:p>
      </cx:txPr>
    </cx:title>
    <cx:plotArea>
      <cx:plotAreaRegion>
        <cx:series layoutId="boxWhisker" uniqueId="{4DD703B7-4616-4983-B25A-FB62632AFA30}">
          <cx:tx>
            <cx:txData>
              <cx:f>_xlchart.v1.4</cx:f>
              <cx:v>Quantity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C49F27BC-29B2-4AE2-A228-C9F5D1FE44D0}">
          <cx:tx>
            <cx:txData>
              <cx:f>_xlchart.v1.6</cx:f>
              <cx:v>TotalPrice</cx:v>
            </cx:txData>
          </cx:tx>
          <cx:dataLabels>
            <cx:visibility seriesName="0" categoryName="0" value="1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Sales transactions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Sales transactions</a:t>
              </a:r>
            </a:p>
          </cx:txPr>
        </cx:title>
        <cx:majorGridlines/>
        <cx:tickLabels/>
      </cx:axis>
      <cx:axis id="1">
        <cx:valScaling/>
        <cx:title>
          <cx:tx>
            <cx:txData>
              <cx:v>Total price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Total price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7184</xdr:colOff>
      <xdr:row>158</xdr:row>
      <xdr:rowOff>163885</xdr:rowOff>
    </xdr:from>
    <xdr:to>
      <xdr:col>23</xdr:col>
      <xdr:colOff>876544</xdr:colOff>
      <xdr:row>174</xdr:row>
      <xdr:rowOff>76990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8EDAFA-8FD8-03E3-3E7C-D549AB40C6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273050</xdr:colOff>
      <xdr:row>1164</xdr:row>
      <xdr:rowOff>101600</xdr:rowOff>
    </xdr:from>
    <xdr:to>
      <xdr:col>22</xdr:col>
      <xdr:colOff>82550</xdr:colOff>
      <xdr:row>1187</xdr:row>
      <xdr:rowOff>34636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CC95A074-B06C-0A86-FED2-D06D3D5FAE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64686" y="215124145"/>
              <a:ext cx="5986319" cy="41817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161635</xdr:colOff>
      <xdr:row>245</xdr:row>
      <xdr:rowOff>173183</xdr:rowOff>
    </xdr:from>
    <xdr:to>
      <xdr:col>23</xdr:col>
      <xdr:colOff>7651</xdr:colOff>
      <xdr:row>267</xdr:row>
      <xdr:rowOff>19051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B288D12-7EAF-4E4B-9D8D-5F4CEA8B2A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66033" y="45158725"/>
              <a:ext cx="5362100" cy="38853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73.492877893521" createdVersion="8" refreshedVersion="8" minRefreshableVersion="3" recordCount="1200" xr:uid="{8A8DE168-943E-4F15-B61D-1C23F81825BF}">
  <cacheSource type="worksheet">
    <worksheetSource ref="A1:N1201" sheet="Sheet1"/>
  </cacheSource>
  <cacheFields count="14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73.501784259257" createdVersion="8" refreshedVersion="8" minRefreshableVersion="3" recordCount="1200" xr:uid="{29A2EA88-0DE6-46A6-A9C5-70CAB4348F3C}">
  <cacheSource type="worksheet">
    <worksheetSource ref="A1:O1201" sheet="Sheet1"/>
  </cacheSource>
  <cacheFields count="15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5" count="5">
        <n v="5"/>
        <n v="2"/>
        <n v="1"/>
        <n v="4"/>
        <n v="3"/>
      </sharedItems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  <cacheField name="Month" numFmtId="0">
      <sharedItems count="12">
        <s v="January"/>
        <s v="August"/>
        <s v="February"/>
        <s v="October"/>
        <s v="May"/>
        <s v="June"/>
        <s v="April"/>
        <s v="November"/>
        <s v="December"/>
        <s v="March"/>
        <s v="July"/>
        <s v="Septem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C72649"/>
    <s v="Monitor"/>
    <n v="5"/>
    <n v="570.62"/>
    <s v="928 Main St"/>
    <x v="0"/>
    <s v="Shipped"/>
    <s v="TRK37947903"/>
    <n v="7"/>
    <s v="SAVE10"/>
    <x v="0"/>
    <n v="2853.1"/>
  </r>
  <r>
    <s v="ORD200001"/>
    <d v="2024-08-23T00:00:00"/>
    <s v="C75739"/>
    <s v="Phone"/>
    <n v="2"/>
    <n v="151.35"/>
    <s v="823 Main St"/>
    <x v="1"/>
    <s v="Shipped"/>
    <s v="TRK91186779"/>
    <n v="3"/>
    <s v="SAVE10"/>
    <x v="1"/>
    <n v="302.7"/>
  </r>
  <r>
    <s v="ORD200002"/>
    <d v="2024-02-27T00:00:00"/>
    <s v="C81728"/>
    <s v="Tablet"/>
    <n v="5"/>
    <n v="550.67999999999995"/>
    <s v="512 Main St"/>
    <x v="2"/>
    <s v="Cancelled"/>
    <s v="TRK42903982"/>
    <n v="8"/>
    <s v="FREESHIP"/>
    <x v="2"/>
    <n v="2753.4"/>
  </r>
  <r>
    <s v="ORD200003"/>
    <d v="2023-10-15T00:00:00"/>
    <s v="C33540"/>
    <s v="Chair"/>
    <n v="1"/>
    <n v="273.19"/>
    <s v="275 Main St"/>
    <x v="0"/>
    <s v="Returned"/>
    <s v="TRK62788070"/>
    <n v="5"/>
    <s v="SAVE10"/>
    <x v="3"/>
    <n v="273.19"/>
  </r>
  <r>
    <s v="ORD200004"/>
    <d v="2025-05-08T00:00:00"/>
    <s v="C81840"/>
    <s v="Printer"/>
    <n v="4"/>
    <n v="626.01"/>
    <s v="668 Main St"/>
    <x v="1"/>
    <s v="Delivered"/>
    <s v="TRK29241424"/>
    <n v="8"/>
    <s v="SAVE10"/>
    <x v="2"/>
    <n v="2504.04"/>
  </r>
  <r>
    <s v="ORD200005"/>
    <d v="2023-10-23T00:00:00"/>
    <s v="C37249"/>
    <s v="Phone"/>
    <n v="2"/>
    <n v="245.86"/>
    <s v="934 Main St"/>
    <x v="2"/>
    <s v="Shipped"/>
    <s v="TRK72976927"/>
    <n v="4"/>
    <s v="SAVE10"/>
    <x v="0"/>
    <n v="491.72"/>
  </r>
  <r>
    <s v="ORD200006"/>
    <d v="2025-06-17T00:00:00"/>
    <s v="C83492"/>
    <s v="Laptop"/>
    <n v="1"/>
    <n v="664.42"/>
    <s v="986 Main St"/>
    <x v="3"/>
    <s v="Returned"/>
    <s v="TRK96417362"/>
    <n v="6"/>
    <s v="SAVE10"/>
    <x v="3"/>
    <n v="664.42"/>
  </r>
  <r>
    <s v="ORD200007"/>
    <d v="2023-05-12T00:00:00"/>
    <s v="C41460"/>
    <s v="Monitor"/>
    <n v="5"/>
    <n v="149.55000000000001"/>
    <s v="706 Main St"/>
    <x v="4"/>
    <s v="Shipped"/>
    <s v="TRK78809193"/>
    <n v="9"/>
    <s v="FREESHIP"/>
    <x v="3"/>
    <n v="747.75"/>
  </r>
  <r>
    <s v="ORD200008"/>
    <d v="2025-04-02T00:00:00"/>
    <s v="C26817"/>
    <s v="Phone"/>
    <n v="2"/>
    <n v="134.28"/>
    <s v="904 Main St"/>
    <x v="3"/>
    <s v="Cancelled"/>
    <s v="TRK61042692"/>
    <n v="2"/>
    <m/>
    <x v="2"/>
    <n v="268.56"/>
  </r>
  <r>
    <s v="ORD200009"/>
    <d v="2023-11-21T00:00:00"/>
    <s v="C31946"/>
    <s v="Desk"/>
    <n v="4"/>
    <n v="509.38"/>
    <s v="102 Main St"/>
    <x v="2"/>
    <s v="Shipped"/>
    <s v="TRK33478363"/>
    <n v="6"/>
    <s v="SAVE10"/>
    <x v="4"/>
    <n v="2037.52"/>
  </r>
  <r>
    <s v="ORD200010"/>
    <d v="2023-12-29T00:00:00"/>
    <s v="C43443"/>
    <s v="Tablet"/>
    <n v="5"/>
    <n v="625.97"/>
    <s v="333 Main St"/>
    <x v="2"/>
    <s v="Returned"/>
    <s v="TRK98859248"/>
    <n v="9"/>
    <s v="WINTER15"/>
    <x v="0"/>
    <n v="3129.85"/>
  </r>
  <r>
    <s v="ORD200011"/>
    <d v="2024-02-17T00:00:00"/>
    <s v="C93861"/>
    <s v="Monitor"/>
    <n v="3"/>
    <n v="49.14"/>
    <s v="831 Main St"/>
    <x v="1"/>
    <s v="Returned"/>
    <s v="TRK48234646"/>
    <n v="7"/>
    <s v="SAVE10"/>
    <x v="2"/>
    <n v="147.41999999999999"/>
  </r>
  <r>
    <s v="ORD200012"/>
    <d v="2024-10-15T00:00:00"/>
    <s v="C38785"/>
    <s v="Monitor"/>
    <n v="2"/>
    <n v="180.5"/>
    <s v="179 Main St"/>
    <x v="0"/>
    <s v="Pending"/>
    <s v="TRK20419991"/>
    <n v="6"/>
    <s v="FREESHIP"/>
    <x v="1"/>
    <n v="361"/>
  </r>
  <r>
    <s v="ORD200013"/>
    <d v="2023-08-30T00:00:00"/>
    <s v="C88348"/>
    <s v="Laptop"/>
    <n v="3"/>
    <n v="201.49"/>
    <s v="903 Main St"/>
    <x v="2"/>
    <s v="Returned"/>
    <s v="TRK81913874"/>
    <n v="4"/>
    <s v="FREESHIP"/>
    <x v="3"/>
    <n v="604.47"/>
  </r>
  <r>
    <s v="ORD200014"/>
    <d v="2023-03-27T00:00:00"/>
    <s v="C98474"/>
    <s v="Tablet"/>
    <n v="2"/>
    <n v="393.33"/>
    <s v="980 Main St"/>
    <x v="0"/>
    <s v="Pending"/>
    <s v="TRK79186539"/>
    <n v="3"/>
    <s v="SAVE10"/>
    <x v="0"/>
    <n v="786.66"/>
  </r>
  <r>
    <s v="ORD200015"/>
    <d v="2023-07-17T00:00:00"/>
    <s v="C39416"/>
    <s v="Printer"/>
    <n v="1"/>
    <n v="473.96"/>
    <s v="942 Main St"/>
    <x v="4"/>
    <s v="Delivered"/>
    <s v="TRK54930938"/>
    <n v="3"/>
    <m/>
    <x v="4"/>
    <n v="473.96"/>
  </r>
  <r>
    <s v="ORD200016"/>
    <d v="2023-01-24T00:00:00"/>
    <s v="C28976"/>
    <s v="Printer"/>
    <n v="2"/>
    <n v="533.80999999999995"/>
    <s v="914 Main St"/>
    <x v="2"/>
    <s v="Pending"/>
    <s v="TRK13194259"/>
    <n v="3"/>
    <s v="FREESHIP"/>
    <x v="2"/>
    <n v="1067.6199999999999"/>
  </r>
  <r>
    <s v="ORD200017"/>
    <d v="2024-03-02T00:00:00"/>
    <s v="C60672"/>
    <s v="Tablet"/>
    <n v="1"/>
    <n v="423.4"/>
    <s v="382 Main St"/>
    <x v="0"/>
    <s v="Shipped"/>
    <s v="TRK11972116"/>
    <n v="3"/>
    <m/>
    <x v="1"/>
    <n v="423.4"/>
  </r>
  <r>
    <s v="ORD200018"/>
    <d v="2025-03-26T00:00:00"/>
    <s v="C84329"/>
    <s v="Desk"/>
    <n v="1"/>
    <n v="431.44"/>
    <s v="891 Main St"/>
    <x v="3"/>
    <s v="Pending"/>
    <s v="TRK65191045"/>
    <n v="3"/>
    <s v="SAVE10"/>
    <x v="3"/>
    <n v="431.44"/>
  </r>
  <r>
    <s v="ORD200019"/>
    <d v="2023-01-23T00:00:00"/>
    <s v="C14552"/>
    <s v="Monitor"/>
    <n v="5"/>
    <n v="224"/>
    <s v="273 Main St"/>
    <x v="4"/>
    <s v="Returned"/>
    <s v="TRK59101365"/>
    <n v="9"/>
    <s v="SAVE10"/>
    <x v="4"/>
    <n v="1120"/>
  </r>
  <r>
    <s v="ORD200020"/>
    <d v="2023-05-08T00:00:00"/>
    <s v="C54829"/>
    <s v="Chair"/>
    <n v="5"/>
    <n v="62.51"/>
    <s v="587 Main St"/>
    <x v="4"/>
    <s v="Pending"/>
    <s v="TRK16718651"/>
    <n v="9"/>
    <s v="WINTER15"/>
    <x v="0"/>
    <n v="312.55"/>
  </r>
  <r>
    <s v="ORD200021"/>
    <d v="2024-11-17T00:00:00"/>
    <s v="C99023"/>
    <s v="Monitor"/>
    <n v="4"/>
    <n v="342.95"/>
    <s v="569 Main St"/>
    <x v="4"/>
    <s v="Delivered"/>
    <s v="TRK52646983"/>
    <n v="6"/>
    <m/>
    <x v="4"/>
    <n v="1371.8"/>
  </r>
  <r>
    <s v="ORD200022"/>
    <d v="2023-01-29T00:00:00"/>
    <s v="C34416"/>
    <s v="Monitor"/>
    <n v="2"/>
    <n v="49.62"/>
    <s v="633 Main St"/>
    <x v="1"/>
    <s v="Pending"/>
    <s v="TRK75937350"/>
    <n v="2"/>
    <s v="SAVE10"/>
    <x v="4"/>
    <n v="99.24"/>
  </r>
  <r>
    <s v="ORD200023"/>
    <d v="2025-04-09T00:00:00"/>
    <s v="C42372"/>
    <s v="Phone"/>
    <n v="4"/>
    <n v="273.25"/>
    <s v="755 Main St"/>
    <x v="0"/>
    <s v="Cancelled"/>
    <s v="TRK36168083"/>
    <n v="5"/>
    <s v="FREESHIP"/>
    <x v="1"/>
    <n v="1093"/>
  </r>
  <r>
    <s v="ORD200024"/>
    <d v="2024-10-30T00:00:00"/>
    <s v="C17470"/>
    <s v="Laptop"/>
    <n v="2"/>
    <n v="230.95"/>
    <s v="956 Main St"/>
    <x v="1"/>
    <s v="Delivered"/>
    <s v="TRK28775057"/>
    <n v="3"/>
    <s v="WINTER15"/>
    <x v="1"/>
    <n v="461.9"/>
  </r>
  <r>
    <s v="ORD200025"/>
    <d v="2024-07-24T00:00:00"/>
    <s v="C42577"/>
    <s v="Monitor"/>
    <n v="1"/>
    <n v="399.98"/>
    <s v="709 Main St"/>
    <x v="0"/>
    <s v="Delivered"/>
    <s v="TRK69423327"/>
    <n v="3"/>
    <s v="WINTER15"/>
    <x v="2"/>
    <n v="399.98"/>
  </r>
  <r>
    <s v="ORD200026"/>
    <d v="2024-03-06T00:00:00"/>
    <s v="C21944"/>
    <s v="Laptop"/>
    <n v="5"/>
    <n v="59.55"/>
    <s v="296 Main St"/>
    <x v="1"/>
    <s v="Delivered"/>
    <s v="TRK80276812"/>
    <n v="6"/>
    <m/>
    <x v="1"/>
    <n v="297.75"/>
  </r>
  <r>
    <s v="ORD200027"/>
    <d v="2024-02-22T00:00:00"/>
    <s v="C97593"/>
    <s v="Printer"/>
    <n v="1"/>
    <n v="472.74"/>
    <s v="881 Main St"/>
    <x v="1"/>
    <s v="Shipped"/>
    <s v="TRK89117573"/>
    <n v="6"/>
    <s v="WINTER15"/>
    <x v="4"/>
    <n v="472.74"/>
  </r>
  <r>
    <s v="ORD200028"/>
    <d v="2023-11-21T00:00:00"/>
    <s v="C59823"/>
    <s v="Phone"/>
    <n v="4"/>
    <n v="160.07"/>
    <s v="568 Main St"/>
    <x v="1"/>
    <s v="Pending"/>
    <s v="TRK65895539"/>
    <n v="5"/>
    <m/>
    <x v="2"/>
    <n v="640.28"/>
  </r>
  <r>
    <s v="ORD200029"/>
    <d v="2024-09-20T00:00:00"/>
    <s v="C33260"/>
    <s v="Desk"/>
    <n v="3"/>
    <n v="423.53"/>
    <s v="930 Main St"/>
    <x v="2"/>
    <s v="Delivered"/>
    <s v="TRK59744090"/>
    <n v="6"/>
    <s v="SAVE10"/>
    <x v="1"/>
    <n v="1270.5899999999999"/>
  </r>
  <r>
    <s v="ORD200030"/>
    <d v="2025-03-22T00:00:00"/>
    <s v="C44267"/>
    <s v="Monitor"/>
    <n v="2"/>
    <n v="426.7"/>
    <s v="895 Main St"/>
    <x v="1"/>
    <s v="Pending"/>
    <s v="TRK54751444"/>
    <n v="5"/>
    <s v="SAVE10"/>
    <x v="1"/>
    <n v="853.4"/>
  </r>
  <r>
    <s v="ORD200031"/>
    <d v="2023-06-30T00:00:00"/>
    <s v="C26445"/>
    <s v="Chair"/>
    <n v="3"/>
    <n v="500.08"/>
    <s v="996 Main St"/>
    <x v="0"/>
    <s v="Returned"/>
    <s v="TRK31229981"/>
    <n v="6"/>
    <m/>
    <x v="3"/>
    <n v="1500.24"/>
  </r>
  <r>
    <s v="ORD200032"/>
    <d v="2023-05-01T00:00:00"/>
    <s v="C12388"/>
    <s v="Tablet"/>
    <n v="5"/>
    <n v="536.72"/>
    <s v="830 Main St"/>
    <x v="4"/>
    <s v="Delivered"/>
    <s v="TRK99261395"/>
    <n v="10"/>
    <m/>
    <x v="2"/>
    <n v="2683.6"/>
  </r>
  <r>
    <s v="ORD200033"/>
    <d v="2023-06-05T00:00:00"/>
    <s v="C52184"/>
    <s v="Chair"/>
    <n v="1"/>
    <n v="162.77000000000001"/>
    <s v="912 Main St"/>
    <x v="1"/>
    <s v="Cancelled"/>
    <s v="TRK73312471"/>
    <n v="4"/>
    <s v="WINTER15"/>
    <x v="3"/>
    <n v="162.77000000000001"/>
  </r>
  <r>
    <s v="ORD200034"/>
    <d v="2023-01-07T00:00:00"/>
    <s v="C67195"/>
    <s v="Chair"/>
    <n v="4"/>
    <n v="576.52"/>
    <s v="926 Main St"/>
    <x v="2"/>
    <s v="Pending"/>
    <s v="TRK55467915"/>
    <n v="5"/>
    <s v="WINTER15"/>
    <x v="3"/>
    <n v="2306.08"/>
  </r>
  <r>
    <s v="ORD200035"/>
    <d v="2024-12-07T00:00:00"/>
    <s v="C50304"/>
    <s v="Monitor"/>
    <n v="2"/>
    <n v="465.15"/>
    <s v="128 Main St"/>
    <x v="1"/>
    <s v="Shipped"/>
    <s v="TRK46850888"/>
    <n v="2"/>
    <s v="SAVE10"/>
    <x v="3"/>
    <n v="930.3"/>
  </r>
  <r>
    <s v="ORD200036"/>
    <d v="2025-05-08T00:00:00"/>
    <s v="C59337"/>
    <s v="Laptop"/>
    <n v="2"/>
    <n v="534.42999999999995"/>
    <s v="465 Main St"/>
    <x v="0"/>
    <s v="Pending"/>
    <s v="TRK50961250"/>
    <n v="5"/>
    <m/>
    <x v="3"/>
    <n v="1068.8599999999999"/>
  </r>
  <r>
    <s v="ORD200037"/>
    <d v="2024-10-14T00:00:00"/>
    <s v="C10054"/>
    <s v="Laptop"/>
    <n v="2"/>
    <n v="76.739999999999995"/>
    <s v="409 Main St"/>
    <x v="4"/>
    <s v="Returned"/>
    <s v="TRK94005261"/>
    <n v="7"/>
    <s v="SAVE10"/>
    <x v="0"/>
    <n v="153.47999999999999"/>
  </r>
  <r>
    <s v="ORD200038"/>
    <d v="2024-12-19T00:00:00"/>
    <s v="C15924"/>
    <s v="Laptop"/>
    <n v="1"/>
    <n v="245.89"/>
    <s v="549 Main St"/>
    <x v="0"/>
    <s v="Delivered"/>
    <s v="TRK14835975"/>
    <n v="3"/>
    <s v="SAVE10"/>
    <x v="4"/>
    <n v="245.89"/>
  </r>
  <r>
    <s v="ORD200039"/>
    <d v="2025-02-27T00:00:00"/>
    <s v="C96664"/>
    <s v="Printer"/>
    <n v="3"/>
    <n v="256.45999999999998"/>
    <s v="666 Main St"/>
    <x v="2"/>
    <s v="Delivered"/>
    <s v="TRK85508960"/>
    <n v="4"/>
    <s v="SAVE10"/>
    <x v="1"/>
    <n v="769.37999999999988"/>
  </r>
  <r>
    <s v="ORD200040"/>
    <d v="2023-08-20T00:00:00"/>
    <s v="C84766"/>
    <s v="Desk"/>
    <n v="2"/>
    <n v="344.02"/>
    <s v="267 Main St"/>
    <x v="1"/>
    <s v="Delivered"/>
    <s v="TRK78967923"/>
    <n v="4"/>
    <s v="FREESHIP"/>
    <x v="0"/>
    <n v="688.04"/>
  </r>
  <r>
    <s v="ORD200041"/>
    <d v="2023-12-05T00:00:00"/>
    <s v="C20212"/>
    <s v="Monitor"/>
    <n v="3"/>
    <n v="611.45000000000005"/>
    <s v="657 Main St"/>
    <x v="3"/>
    <s v="Pending"/>
    <s v="TRK69733327"/>
    <n v="4"/>
    <s v="FREESHIP"/>
    <x v="0"/>
    <n v="1834.35"/>
  </r>
  <r>
    <s v="ORD200042"/>
    <d v="2024-05-06T00:00:00"/>
    <s v="C28712"/>
    <s v="Printer"/>
    <n v="2"/>
    <n v="151.66"/>
    <s v="980 Main St"/>
    <x v="4"/>
    <s v="Cancelled"/>
    <s v="TRK40772558"/>
    <n v="6"/>
    <m/>
    <x v="0"/>
    <n v="303.32"/>
  </r>
  <r>
    <s v="ORD200043"/>
    <d v="2023-12-14T00:00:00"/>
    <s v="C60572"/>
    <s v="Chair"/>
    <n v="3"/>
    <n v="499.21"/>
    <s v="871 Main St"/>
    <x v="1"/>
    <s v="Cancelled"/>
    <s v="TRK20351666"/>
    <n v="8"/>
    <m/>
    <x v="0"/>
    <n v="1497.63"/>
  </r>
  <r>
    <s v="ORD200044"/>
    <d v="2025-04-21T00:00:00"/>
    <s v="C73225"/>
    <s v="Phone"/>
    <n v="2"/>
    <n v="550.17999999999995"/>
    <s v="996 Main St"/>
    <x v="3"/>
    <s v="Returned"/>
    <s v="TRK73848522"/>
    <n v="3"/>
    <s v="FREESHIP"/>
    <x v="1"/>
    <n v="1100.3599999999999"/>
  </r>
  <r>
    <s v="ORD200045"/>
    <d v="2024-02-10T00:00:00"/>
    <s v="C17388"/>
    <s v="Chair"/>
    <n v="1"/>
    <n v="317.25"/>
    <s v="157 Main St"/>
    <x v="0"/>
    <s v="Returned"/>
    <s v="TRK47077395"/>
    <n v="1"/>
    <s v="SAVE10"/>
    <x v="3"/>
    <n v="317.25"/>
  </r>
  <r>
    <s v="ORD200046"/>
    <d v="2024-06-26T00:00:00"/>
    <s v="C43212"/>
    <s v="Monitor"/>
    <n v="4"/>
    <n v="550.14"/>
    <s v="223 Main St"/>
    <x v="0"/>
    <s v="Pending"/>
    <s v="TRK25100762"/>
    <n v="4"/>
    <s v="FREESHIP"/>
    <x v="0"/>
    <n v="2200.56"/>
  </r>
  <r>
    <s v="ORD200047"/>
    <d v="2023-07-19T00:00:00"/>
    <s v="C38134"/>
    <s v="Desk"/>
    <n v="2"/>
    <n v="209.94"/>
    <s v="323 Main St"/>
    <x v="2"/>
    <s v="Returned"/>
    <s v="TRK42450754"/>
    <n v="3"/>
    <s v="FREESHIP"/>
    <x v="2"/>
    <n v="419.88"/>
  </r>
  <r>
    <s v="ORD200048"/>
    <d v="2023-08-26T00:00:00"/>
    <s v="C12408"/>
    <s v="Monitor"/>
    <n v="2"/>
    <n v="80.77"/>
    <s v="464 Main St"/>
    <x v="0"/>
    <s v="Shipped"/>
    <s v="TRK38938858"/>
    <n v="4"/>
    <m/>
    <x v="4"/>
    <n v="161.54"/>
  </r>
  <r>
    <s v="ORD200049"/>
    <d v="2023-10-07T00:00:00"/>
    <s v="C11985"/>
    <s v="Printer"/>
    <n v="1"/>
    <n v="30.44"/>
    <s v="633 Main St"/>
    <x v="2"/>
    <s v="Shipped"/>
    <s v="TRK53272402"/>
    <n v="1"/>
    <s v="SAVE10"/>
    <x v="2"/>
    <n v="30.44"/>
  </r>
  <r>
    <s v="ORD200050"/>
    <d v="2023-07-31T00:00:00"/>
    <s v="C96494"/>
    <s v="Tablet"/>
    <n v="1"/>
    <n v="179.22"/>
    <s v="446 Main St"/>
    <x v="1"/>
    <s v="Cancelled"/>
    <s v="TRK14675049"/>
    <n v="6"/>
    <s v="FREESHIP"/>
    <x v="0"/>
    <n v="179.22"/>
  </r>
  <r>
    <s v="ORD200051"/>
    <d v="2024-12-30T00:00:00"/>
    <s v="C36778"/>
    <s v="Tablet"/>
    <n v="1"/>
    <n v="388.33"/>
    <s v="434 Main St"/>
    <x v="4"/>
    <s v="Returned"/>
    <s v="TRK67610289"/>
    <n v="2"/>
    <s v="SAVE10"/>
    <x v="3"/>
    <n v="388.33"/>
  </r>
  <r>
    <s v="ORD200052"/>
    <d v="2024-09-08T00:00:00"/>
    <s v="C30513"/>
    <s v="Tablet"/>
    <n v="1"/>
    <n v="586.44000000000005"/>
    <s v="232 Main St"/>
    <x v="1"/>
    <s v="Returned"/>
    <s v="TRK64320429"/>
    <n v="5"/>
    <s v="SAVE10"/>
    <x v="3"/>
    <n v="586.44000000000005"/>
  </r>
  <r>
    <s v="ORD200053"/>
    <d v="2024-05-18T00:00:00"/>
    <s v="C67551"/>
    <s v="Phone"/>
    <n v="4"/>
    <n v="488.78"/>
    <s v="512 Main St"/>
    <x v="1"/>
    <s v="Returned"/>
    <s v="TRK94992552"/>
    <n v="5"/>
    <s v="FREESHIP"/>
    <x v="4"/>
    <n v="1955.12"/>
  </r>
  <r>
    <s v="ORD200054"/>
    <d v="2025-03-27T00:00:00"/>
    <s v="C48120"/>
    <s v="Chair"/>
    <n v="1"/>
    <n v="280.25"/>
    <s v="623 Main St"/>
    <x v="1"/>
    <s v="Pending"/>
    <s v="TRK11014449"/>
    <n v="5"/>
    <s v="WINTER15"/>
    <x v="2"/>
    <n v="280.25"/>
  </r>
  <r>
    <s v="ORD200055"/>
    <d v="2025-06-24T00:00:00"/>
    <s v="C95984"/>
    <s v="Printer"/>
    <n v="3"/>
    <n v="344.4"/>
    <s v="565 Main St"/>
    <x v="1"/>
    <s v="Cancelled"/>
    <s v="TRK67434829"/>
    <n v="3"/>
    <m/>
    <x v="3"/>
    <n v="1033.2"/>
  </r>
  <r>
    <s v="ORD200056"/>
    <d v="2023-05-21T00:00:00"/>
    <s v="C54298"/>
    <s v="Tablet"/>
    <n v="3"/>
    <n v="479.21"/>
    <s v="566 Main St"/>
    <x v="4"/>
    <s v="Cancelled"/>
    <s v="TRK62902341"/>
    <n v="5"/>
    <s v="WINTER15"/>
    <x v="1"/>
    <n v="1437.63"/>
  </r>
  <r>
    <s v="ORD200057"/>
    <d v="2023-01-22T00:00:00"/>
    <s v="C88036"/>
    <s v="Printer"/>
    <n v="5"/>
    <n v="314.27"/>
    <s v="842 Main St"/>
    <x v="4"/>
    <s v="Returned"/>
    <s v="TRK52470128"/>
    <n v="6"/>
    <s v="SAVE10"/>
    <x v="0"/>
    <n v="1571.35"/>
  </r>
  <r>
    <s v="ORD200058"/>
    <d v="2023-01-15T00:00:00"/>
    <s v="C60190"/>
    <s v="Phone"/>
    <n v="4"/>
    <n v="474.69"/>
    <s v="202 Main St"/>
    <x v="3"/>
    <s v="Cancelled"/>
    <s v="TRK70857868"/>
    <n v="6"/>
    <s v="SAVE10"/>
    <x v="4"/>
    <n v="1898.76"/>
  </r>
  <r>
    <s v="ORD200059"/>
    <d v="2024-09-11T00:00:00"/>
    <s v="C97603"/>
    <s v="Chair"/>
    <n v="4"/>
    <n v="593.27"/>
    <s v="811 Main St"/>
    <x v="1"/>
    <s v="Shipped"/>
    <s v="TRK47055028"/>
    <n v="5"/>
    <m/>
    <x v="3"/>
    <n v="2373.08"/>
  </r>
  <r>
    <s v="ORD200060"/>
    <d v="2024-08-21T00:00:00"/>
    <s v="C39256"/>
    <s v="Desk"/>
    <n v="1"/>
    <n v="417.1"/>
    <s v="634 Main St"/>
    <x v="0"/>
    <s v="Returned"/>
    <s v="TRK23412025"/>
    <n v="3"/>
    <s v="FREESHIP"/>
    <x v="1"/>
    <n v="417.1"/>
  </r>
  <r>
    <s v="ORD200061"/>
    <d v="2024-03-24T00:00:00"/>
    <s v="C61618"/>
    <s v="Desk"/>
    <n v="4"/>
    <n v="122.2"/>
    <s v="104 Main St"/>
    <x v="4"/>
    <s v="Delivered"/>
    <s v="TRK43458485"/>
    <n v="7"/>
    <s v="FREESHIP"/>
    <x v="3"/>
    <n v="488.8"/>
  </r>
  <r>
    <s v="ORD200062"/>
    <d v="2023-08-22T00:00:00"/>
    <s v="C36497"/>
    <s v="Desk"/>
    <n v="2"/>
    <n v="43.15"/>
    <s v="691 Main St"/>
    <x v="0"/>
    <s v="Pending"/>
    <s v="TRK12102911"/>
    <n v="3"/>
    <s v="WINTER15"/>
    <x v="2"/>
    <n v="86.3"/>
  </r>
  <r>
    <s v="ORD200063"/>
    <d v="2025-02-02T00:00:00"/>
    <s v="C96695"/>
    <s v="Chair"/>
    <n v="1"/>
    <n v="564.86"/>
    <s v="813 Main St"/>
    <x v="0"/>
    <s v="Shipped"/>
    <s v="TRK64283851"/>
    <n v="6"/>
    <s v="WINTER15"/>
    <x v="1"/>
    <n v="564.86"/>
  </r>
  <r>
    <s v="ORD200064"/>
    <d v="2025-06-25T00:00:00"/>
    <s v="C49720"/>
    <s v="Printer"/>
    <n v="3"/>
    <n v="130.61000000000001"/>
    <s v="752 Main St"/>
    <x v="0"/>
    <s v="Cancelled"/>
    <s v="TRK55785217"/>
    <n v="4"/>
    <s v="FREESHIP"/>
    <x v="3"/>
    <n v="391.83"/>
  </r>
  <r>
    <s v="ORD200065"/>
    <d v="2023-12-30T00:00:00"/>
    <s v="C97735"/>
    <s v="Monitor"/>
    <n v="5"/>
    <n v="81.7"/>
    <s v="385 Main St"/>
    <x v="2"/>
    <s v="Delivered"/>
    <s v="TRK13743703"/>
    <n v="6"/>
    <m/>
    <x v="0"/>
    <n v="408.5"/>
  </r>
  <r>
    <s v="ORD200066"/>
    <d v="2024-11-15T00:00:00"/>
    <s v="C18104"/>
    <s v="Chair"/>
    <n v="5"/>
    <n v="127.18"/>
    <s v="715 Main St"/>
    <x v="4"/>
    <s v="Cancelled"/>
    <s v="TRK15488568"/>
    <n v="9"/>
    <s v="SAVE10"/>
    <x v="1"/>
    <n v="635.90000000000009"/>
  </r>
  <r>
    <s v="ORD200067"/>
    <d v="2024-12-09T00:00:00"/>
    <s v="C25587"/>
    <s v="Printer"/>
    <n v="4"/>
    <n v="12.1"/>
    <s v="440 Main St"/>
    <x v="0"/>
    <s v="Cancelled"/>
    <s v="TRK55105323"/>
    <n v="8"/>
    <m/>
    <x v="4"/>
    <n v="48.4"/>
  </r>
  <r>
    <s v="ORD200068"/>
    <d v="2023-12-11T00:00:00"/>
    <s v="C41598"/>
    <s v="Chair"/>
    <n v="3"/>
    <n v="490.92"/>
    <s v="709 Main St"/>
    <x v="2"/>
    <s v="Pending"/>
    <s v="TRK81665940"/>
    <n v="5"/>
    <s v="FREESHIP"/>
    <x v="2"/>
    <n v="1472.76"/>
  </r>
  <r>
    <s v="ORD200069"/>
    <d v="2023-05-11T00:00:00"/>
    <s v="C43338"/>
    <s v="Monitor"/>
    <n v="3"/>
    <n v="478.65"/>
    <s v="552 Main St"/>
    <x v="1"/>
    <s v="Shipped"/>
    <s v="TRK35241775"/>
    <n v="4"/>
    <m/>
    <x v="1"/>
    <n v="1435.95"/>
  </r>
  <r>
    <s v="ORD200070"/>
    <d v="2023-05-26T00:00:00"/>
    <s v="C25123"/>
    <s v="Desk"/>
    <n v="1"/>
    <n v="629.21"/>
    <s v="384 Main St"/>
    <x v="3"/>
    <s v="Pending"/>
    <s v="TRK27812282"/>
    <n v="2"/>
    <s v="FREESHIP"/>
    <x v="0"/>
    <n v="629.21"/>
  </r>
  <r>
    <s v="ORD200071"/>
    <d v="2025-06-10T00:00:00"/>
    <s v="C37454"/>
    <s v="Monitor"/>
    <n v="3"/>
    <n v="434.45"/>
    <s v="923 Main St"/>
    <x v="2"/>
    <s v="Pending"/>
    <s v="TRK28252730"/>
    <n v="4"/>
    <m/>
    <x v="1"/>
    <n v="1303.3499999999999"/>
  </r>
  <r>
    <s v="ORD200072"/>
    <d v="2024-12-22T00:00:00"/>
    <s v="C19451"/>
    <s v="Tablet"/>
    <n v="4"/>
    <n v="589.44000000000005"/>
    <s v="942 Main St"/>
    <x v="3"/>
    <s v="Returned"/>
    <s v="TRK87787793"/>
    <n v="5"/>
    <m/>
    <x v="3"/>
    <n v="2357.7600000000002"/>
  </r>
  <r>
    <s v="ORD200073"/>
    <d v="2023-05-03T00:00:00"/>
    <s v="C17269"/>
    <s v="Monitor"/>
    <n v="4"/>
    <n v="433.45"/>
    <s v="129 Main St"/>
    <x v="3"/>
    <s v="Cancelled"/>
    <s v="TRK79608389"/>
    <n v="4"/>
    <m/>
    <x v="3"/>
    <n v="1733.8"/>
  </r>
  <r>
    <s v="ORD200074"/>
    <d v="2023-06-24T00:00:00"/>
    <s v="C25382"/>
    <s v="Phone"/>
    <n v="5"/>
    <n v="90.87"/>
    <s v="622 Main St"/>
    <x v="4"/>
    <s v="Pending"/>
    <s v="TRK64691287"/>
    <n v="5"/>
    <m/>
    <x v="0"/>
    <n v="454.35"/>
  </r>
  <r>
    <s v="ORD200075"/>
    <d v="2023-09-26T00:00:00"/>
    <s v="C80651"/>
    <s v="Tablet"/>
    <n v="3"/>
    <n v="398.17"/>
    <s v="917 Main St"/>
    <x v="0"/>
    <s v="Delivered"/>
    <s v="TRK14846720"/>
    <n v="5"/>
    <s v="SAVE10"/>
    <x v="2"/>
    <n v="1194.51"/>
  </r>
  <r>
    <s v="ORD200076"/>
    <d v="2024-03-31T00:00:00"/>
    <s v="C58638"/>
    <s v="Laptop"/>
    <n v="4"/>
    <n v="382.88"/>
    <s v="239 Main St"/>
    <x v="4"/>
    <s v="Cancelled"/>
    <s v="TRK38224871"/>
    <n v="6"/>
    <s v="WINTER15"/>
    <x v="2"/>
    <n v="1531.52"/>
  </r>
  <r>
    <s v="ORD200077"/>
    <d v="2024-05-24T00:00:00"/>
    <s v="C50121"/>
    <s v="Phone"/>
    <n v="1"/>
    <n v="583.17999999999995"/>
    <s v="348 Main St"/>
    <x v="2"/>
    <s v="Returned"/>
    <s v="TRK79810059"/>
    <n v="5"/>
    <m/>
    <x v="4"/>
    <n v="583.17999999999995"/>
  </r>
  <r>
    <s v="ORD200078"/>
    <d v="2024-08-06T00:00:00"/>
    <s v="C32029"/>
    <s v="Printer"/>
    <n v="4"/>
    <n v="175.36"/>
    <s v="146 Main St"/>
    <x v="0"/>
    <s v="Delivered"/>
    <s v="TRK68535532"/>
    <n v="4"/>
    <s v="FREESHIP"/>
    <x v="0"/>
    <n v="701.44"/>
  </r>
  <r>
    <s v="ORD200079"/>
    <d v="2025-03-10T00:00:00"/>
    <s v="C76700"/>
    <s v="Tablet"/>
    <n v="2"/>
    <n v="311.91000000000003"/>
    <s v="103 Main St"/>
    <x v="1"/>
    <s v="Shipped"/>
    <s v="TRK13036341"/>
    <n v="2"/>
    <m/>
    <x v="3"/>
    <n v="623.82000000000005"/>
  </r>
  <r>
    <s v="ORD200080"/>
    <d v="2023-06-27T00:00:00"/>
    <s v="C29041"/>
    <s v="Phone"/>
    <n v="3"/>
    <n v="589.55999999999995"/>
    <s v="591 Main St"/>
    <x v="1"/>
    <s v="Returned"/>
    <s v="TRK28840655"/>
    <n v="6"/>
    <m/>
    <x v="3"/>
    <n v="1768.68"/>
  </r>
  <r>
    <s v="ORD200081"/>
    <d v="2023-06-08T00:00:00"/>
    <s v="C29314"/>
    <s v="Monitor"/>
    <n v="2"/>
    <n v="394.3"/>
    <s v="496 Main St"/>
    <x v="4"/>
    <s v="Shipped"/>
    <s v="TRK59876213"/>
    <n v="6"/>
    <s v="FREESHIP"/>
    <x v="2"/>
    <n v="788.6"/>
  </r>
  <r>
    <s v="ORD200082"/>
    <d v="2024-01-05T00:00:00"/>
    <s v="C65799"/>
    <s v="Tablet"/>
    <n v="4"/>
    <n v="565.20000000000005"/>
    <s v="971 Main St"/>
    <x v="0"/>
    <s v="Shipped"/>
    <s v="TRK66906607"/>
    <n v="9"/>
    <s v="SAVE10"/>
    <x v="4"/>
    <n v="2260.8000000000002"/>
  </r>
  <r>
    <s v="ORD200083"/>
    <d v="2023-08-22T00:00:00"/>
    <s v="C15681"/>
    <s v="Laptop"/>
    <n v="4"/>
    <n v="540.41"/>
    <s v="989 Main St"/>
    <x v="2"/>
    <s v="Cancelled"/>
    <s v="TRK75112172"/>
    <n v="6"/>
    <m/>
    <x v="1"/>
    <n v="2161.64"/>
  </r>
  <r>
    <s v="ORD200084"/>
    <d v="2023-08-28T00:00:00"/>
    <s v="C64160"/>
    <s v="Monitor"/>
    <n v="2"/>
    <n v="165.49"/>
    <s v="967 Main St"/>
    <x v="1"/>
    <s v="Shipped"/>
    <s v="TRK34121529"/>
    <n v="4"/>
    <s v="WINTER15"/>
    <x v="0"/>
    <n v="330.98"/>
  </r>
  <r>
    <s v="ORD200085"/>
    <d v="2024-09-09T00:00:00"/>
    <s v="C14553"/>
    <s v="Tablet"/>
    <n v="3"/>
    <n v="146.72999999999999"/>
    <s v="768 Main St"/>
    <x v="4"/>
    <s v="Delivered"/>
    <s v="TRK93538334"/>
    <n v="8"/>
    <s v="FREESHIP"/>
    <x v="2"/>
    <n v="440.18999999999988"/>
  </r>
  <r>
    <s v="ORD200086"/>
    <d v="2024-06-19T00:00:00"/>
    <s v="C88205"/>
    <s v="Printer"/>
    <n v="5"/>
    <n v="643.03"/>
    <s v="447 Main St"/>
    <x v="1"/>
    <s v="Cancelled"/>
    <s v="TRK93504166"/>
    <n v="5"/>
    <s v="FREESHIP"/>
    <x v="1"/>
    <n v="3215.15"/>
  </r>
  <r>
    <s v="ORD200087"/>
    <d v="2024-10-10T00:00:00"/>
    <s v="C91245"/>
    <s v="Tablet"/>
    <n v="3"/>
    <n v="225.11"/>
    <s v="915 Main St"/>
    <x v="4"/>
    <s v="Shipped"/>
    <s v="TRK46976391"/>
    <n v="4"/>
    <s v="SAVE10"/>
    <x v="3"/>
    <n v="675.33"/>
  </r>
  <r>
    <s v="ORD200088"/>
    <d v="2025-06-05T00:00:00"/>
    <s v="C75439"/>
    <s v="Desk"/>
    <n v="3"/>
    <n v="114.81"/>
    <s v="318 Main St"/>
    <x v="3"/>
    <s v="Cancelled"/>
    <s v="TRK19831653"/>
    <n v="7"/>
    <m/>
    <x v="4"/>
    <n v="344.43"/>
  </r>
  <r>
    <s v="ORD200089"/>
    <d v="2025-02-25T00:00:00"/>
    <s v="C17181"/>
    <s v="Printer"/>
    <n v="5"/>
    <n v="455.33"/>
    <s v="291 Main St"/>
    <x v="2"/>
    <s v="Cancelled"/>
    <s v="TRK78912978"/>
    <n v="8"/>
    <s v="FREESHIP"/>
    <x v="4"/>
    <n v="2276.65"/>
  </r>
  <r>
    <s v="ORD200090"/>
    <d v="2023-09-18T00:00:00"/>
    <s v="C36540"/>
    <s v="Chair"/>
    <n v="4"/>
    <n v="182.08"/>
    <s v="611 Main St"/>
    <x v="3"/>
    <s v="Delivered"/>
    <s v="TRK35828122"/>
    <n v="4"/>
    <s v="SAVE10"/>
    <x v="2"/>
    <n v="728.32"/>
  </r>
  <r>
    <s v="ORD200091"/>
    <d v="2023-03-15T00:00:00"/>
    <s v="C98216"/>
    <s v="Laptop"/>
    <n v="5"/>
    <n v="492.75"/>
    <s v="196 Main St"/>
    <x v="4"/>
    <s v="Shipped"/>
    <s v="TRK40986666"/>
    <n v="6"/>
    <s v="WINTER15"/>
    <x v="1"/>
    <n v="2463.75"/>
  </r>
  <r>
    <s v="ORD200092"/>
    <d v="2024-06-10T00:00:00"/>
    <s v="C29568"/>
    <s v="Printer"/>
    <n v="4"/>
    <n v="48.61"/>
    <s v="203 Main St"/>
    <x v="1"/>
    <s v="Shipped"/>
    <s v="TRK46531075"/>
    <n v="7"/>
    <s v="FREESHIP"/>
    <x v="3"/>
    <n v="194.44"/>
  </r>
  <r>
    <s v="ORD200093"/>
    <d v="2023-01-14T00:00:00"/>
    <s v="C97262"/>
    <s v="Desk"/>
    <n v="4"/>
    <n v="431.01"/>
    <s v="837 Main St"/>
    <x v="2"/>
    <s v="Returned"/>
    <s v="TRK65990229"/>
    <n v="7"/>
    <m/>
    <x v="1"/>
    <n v="1724.04"/>
  </r>
  <r>
    <s v="ORD200094"/>
    <d v="2023-02-11T00:00:00"/>
    <s v="C79821"/>
    <s v="Chair"/>
    <n v="1"/>
    <n v="531.17999999999995"/>
    <s v="781 Main St"/>
    <x v="3"/>
    <s v="Returned"/>
    <s v="TRK12780193"/>
    <n v="6"/>
    <s v="WINTER15"/>
    <x v="0"/>
    <n v="531.17999999999995"/>
  </r>
  <r>
    <s v="ORD200095"/>
    <d v="2023-03-24T00:00:00"/>
    <s v="C76761"/>
    <s v="Printer"/>
    <n v="4"/>
    <n v="117.51"/>
    <s v="839 Main St"/>
    <x v="0"/>
    <s v="Returned"/>
    <s v="TRK60179774"/>
    <n v="7"/>
    <m/>
    <x v="1"/>
    <n v="470.04"/>
  </r>
  <r>
    <s v="ORD200096"/>
    <d v="2024-06-01T00:00:00"/>
    <s v="C93007"/>
    <s v="Phone"/>
    <n v="2"/>
    <n v="232.83"/>
    <s v="103 Main St"/>
    <x v="3"/>
    <s v="Delivered"/>
    <s v="TRK85696091"/>
    <n v="7"/>
    <m/>
    <x v="0"/>
    <n v="465.66"/>
  </r>
  <r>
    <s v="ORD200097"/>
    <d v="2025-01-21T00:00:00"/>
    <s v="C15624"/>
    <s v="Tablet"/>
    <n v="5"/>
    <n v="619.52"/>
    <s v="922 Main St"/>
    <x v="0"/>
    <s v="Pending"/>
    <s v="TRK40621141"/>
    <n v="9"/>
    <m/>
    <x v="2"/>
    <n v="3097.6"/>
  </r>
  <r>
    <s v="ORD200098"/>
    <d v="2023-01-14T00:00:00"/>
    <s v="C70921"/>
    <s v="Printer"/>
    <n v="2"/>
    <n v="228.54"/>
    <s v="533 Main St"/>
    <x v="0"/>
    <s v="Pending"/>
    <s v="TRK54983109"/>
    <n v="3"/>
    <m/>
    <x v="2"/>
    <n v="457.08"/>
  </r>
  <r>
    <s v="ORD200099"/>
    <d v="2025-04-12T00:00:00"/>
    <s v="C30477"/>
    <s v="Printer"/>
    <n v="1"/>
    <n v="201.58"/>
    <s v="717 Main St"/>
    <x v="0"/>
    <s v="Cancelled"/>
    <s v="TRK51829648"/>
    <n v="2"/>
    <s v="WINTER15"/>
    <x v="2"/>
    <n v="201.58"/>
  </r>
  <r>
    <s v="ORD200100"/>
    <d v="2023-02-17T00:00:00"/>
    <s v="C74866"/>
    <s v="Phone"/>
    <n v="3"/>
    <n v="664.79"/>
    <s v="743 Main St"/>
    <x v="1"/>
    <s v="Delivered"/>
    <s v="TRK53783265"/>
    <n v="6"/>
    <m/>
    <x v="3"/>
    <n v="1994.37"/>
  </r>
  <r>
    <s v="ORD200101"/>
    <d v="2023-11-25T00:00:00"/>
    <s v="C15283"/>
    <s v="Printer"/>
    <n v="1"/>
    <n v="381.02"/>
    <s v="152 Main St"/>
    <x v="4"/>
    <s v="Shipped"/>
    <s v="TRK19286291"/>
    <n v="6"/>
    <m/>
    <x v="4"/>
    <n v="381.02"/>
  </r>
  <r>
    <s v="ORD200102"/>
    <d v="2023-03-08T00:00:00"/>
    <s v="C18037"/>
    <s v="Laptop"/>
    <n v="2"/>
    <n v="70.34"/>
    <s v="944 Main St"/>
    <x v="3"/>
    <s v="Cancelled"/>
    <s v="TRK47362236"/>
    <n v="3"/>
    <s v="FREESHIP"/>
    <x v="2"/>
    <n v="140.68"/>
  </r>
  <r>
    <s v="ORD200103"/>
    <d v="2025-01-25T00:00:00"/>
    <s v="C62656"/>
    <s v="Phone"/>
    <n v="4"/>
    <n v="218.43"/>
    <s v="514 Main St"/>
    <x v="2"/>
    <s v="Cancelled"/>
    <s v="TRK86296459"/>
    <n v="9"/>
    <s v="SAVE10"/>
    <x v="2"/>
    <n v="873.72"/>
  </r>
  <r>
    <s v="ORD200104"/>
    <d v="2024-07-30T00:00:00"/>
    <s v="C65744"/>
    <s v="Phone"/>
    <n v="1"/>
    <n v="582.04"/>
    <s v="647 Main St"/>
    <x v="3"/>
    <s v="Delivered"/>
    <s v="TRK39906058"/>
    <n v="1"/>
    <s v="FREESHIP"/>
    <x v="2"/>
    <n v="582.04"/>
  </r>
  <r>
    <s v="ORD200105"/>
    <d v="2024-10-24T00:00:00"/>
    <s v="C72290"/>
    <s v="Printer"/>
    <n v="3"/>
    <n v="185.4"/>
    <s v="810 Main St"/>
    <x v="3"/>
    <s v="Cancelled"/>
    <s v="TRK68792129"/>
    <n v="7"/>
    <m/>
    <x v="3"/>
    <n v="556.20000000000005"/>
  </r>
  <r>
    <s v="ORD200106"/>
    <d v="2023-09-08T00:00:00"/>
    <s v="C73514"/>
    <s v="Desk"/>
    <n v="3"/>
    <n v="465.05"/>
    <s v="126 Main St"/>
    <x v="2"/>
    <s v="Cancelled"/>
    <s v="TRK96777924"/>
    <n v="3"/>
    <s v="SAVE10"/>
    <x v="2"/>
    <n v="1395.15"/>
  </r>
  <r>
    <s v="ORD200107"/>
    <d v="2023-03-27T00:00:00"/>
    <s v="C16775"/>
    <s v="Printer"/>
    <n v="5"/>
    <n v="670.75"/>
    <s v="848 Main St"/>
    <x v="3"/>
    <s v="Shipped"/>
    <s v="TRK34392124"/>
    <n v="8"/>
    <s v="FREESHIP"/>
    <x v="0"/>
    <n v="3353.75"/>
  </r>
  <r>
    <s v="ORD200108"/>
    <d v="2024-12-28T00:00:00"/>
    <s v="C33099"/>
    <s v="Laptop"/>
    <n v="5"/>
    <n v="48.38"/>
    <s v="522 Main St"/>
    <x v="3"/>
    <s v="Delivered"/>
    <s v="TRK28522330"/>
    <n v="9"/>
    <s v="WINTER15"/>
    <x v="2"/>
    <n v="241.9"/>
  </r>
  <r>
    <s v="ORD200109"/>
    <d v="2023-09-17T00:00:00"/>
    <s v="C51157"/>
    <s v="Desk"/>
    <n v="3"/>
    <n v="592.87"/>
    <s v="131 Main St"/>
    <x v="3"/>
    <s v="Shipped"/>
    <s v="TRK18674578"/>
    <n v="3"/>
    <s v="FREESHIP"/>
    <x v="1"/>
    <n v="1778.61"/>
  </r>
  <r>
    <s v="ORD200110"/>
    <d v="2024-04-21T00:00:00"/>
    <s v="C74562"/>
    <s v="Tablet"/>
    <n v="1"/>
    <n v="220.77"/>
    <s v="388 Main St"/>
    <x v="3"/>
    <s v="Pending"/>
    <s v="TRK32062079"/>
    <n v="5"/>
    <s v="FREESHIP"/>
    <x v="0"/>
    <n v="220.77"/>
  </r>
  <r>
    <s v="ORD200111"/>
    <d v="2025-05-07T00:00:00"/>
    <s v="C95271"/>
    <s v="Desk"/>
    <n v="3"/>
    <n v="309.22000000000003"/>
    <s v="620 Main St"/>
    <x v="1"/>
    <s v="Cancelled"/>
    <s v="TRK74904969"/>
    <n v="7"/>
    <s v="FREESHIP"/>
    <x v="4"/>
    <n v="927.66000000000008"/>
  </r>
  <r>
    <s v="ORD200112"/>
    <d v="2023-01-01T00:00:00"/>
    <s v="C81366"/>
    <s v="Monitor"/>
    <n v="1"/>
    <n v="410.6"/>
    <s v="423 Main St"/>
    <x v="1"/>
    <s v="Cancelled"/>
    <s v="TRK17062206"/>
    <n v="2"/>
    <s v="WINTER15"/>
    <x v="1"/>
    <n v="410.6"/>
  </r>
  <r>
    <s v="ORD200113"/>
    <d v="2024-01-17T00:00:00"/>
    <s v="C65905"/>
    <s v="Laptop"/>
    <n v="5"/>
    <n v="190.08"/>
    <s v="605 Main St"/>
    <x v="4"/>
    <s v="Shipped"/>
    <s v="TRK73954365"/>
    <n v="9"/>
    <s v="FREESHIP"/>
    <x v="0"/>
    <n v="950.40000000000009"/>
  </r>
  <r>
    <s v="ORD200114"/>
    <d v="2025-01-27T00:00:00"/>
    <s v="C77272"/>
    <s v="Monitor"/>
    <n v="5"/>
    <n v="498.48"/>
    <s v="115 Main St"/>
    <x v="1"/>
    <s v="Pending"/>
    <s v="TRK29708128"/>
    <n v="8"/>
    <s v="SAVE10"/>
    <x v="4"/>
    <n v="2492.4"/>
  </r>
  <r>
    <s v="ORD200115"/>
    <d v="2023-11-27T00:00:00"/>
    <s v="C32580"/>
    <s v="Phone"/>
    <n v="5"/>
    <n v="374.99"/>
    <s v="122 Main St"/>
    <x v="1"/>
    <s v="Shipped"/>
    <s v="TRK23670394"/>
    <n v="9"/>
    <s v="SAVE10"/>
    <x v="3"/>
    <n v="1874.95"/>
  </r>
  <r>
    <s v="ORD200116"/>
    <d v="2023-03-19T00:00:00"/>
    <s v="C47761"/>
    <s v="Printer"/>
    <n v="4"/>
    <n v="291.35000000000002"/>
    <s v="109 Main St"/>
    <x v="2"/>
    <s v="Cancelled"/>
    <s v="TRK66669207"/>
    <n v="6"/>
    <s v="WINTER15"/>
    <x v="3"/>
    <n v="1165.4000000000001"/>
  </r>
  <r>
    <s v="ORD200117"/>
    <d v="2023-03-08T00:00:00"/>
    <s v="C49187"/>
    <s v="Tablet"/>
    <n v="1"/>
    <n v="535.5"/>
    <s v="593 Main St"/>
    <x v="3"/>
    <s v="Cancelled"/>
    <s v="TRK81888598"/>
    <n v="5"/>
    <s v="WINTER15"/>
    <x v="1"/>
    <n v="535.5"/>
  </r>
  <r>
    <s v="ORD200118"/>
    <d v="2023-10-09T00:00:00"/>
    <s v="C27898"/>
    <s v="Printer"/>
    <n v="5"/>
    <n v="502.71"/>
    <s v="807 Main St"/>
    <x v="3"/>
    <s v="Shipped"/>
    <s v="TRK61957665"/>
    <n v="7"/>
    <s v="FREESHIP"/>
    <x v="4"/>
    <n v="2513.5500000000002"/>
  </r>
  <r>
    <s v="ORD200119"/>
    <d v="2025-06-11T00:00:00"/>
    <s v="C14683"/>
    <s v="Desk"/>
    <n v="2"/>
    <n v="534.66999999999996"/>
    <s v="187 Main St"/>
    <x v="0"/>
    <s v="Shipped"/>
    <s v="TRK47373682"/>
    <n v="7"/>
    <s v="FREESHIP"/>
    <x v="1"/>
    <n v="1069.3399999999999"/>
  </r>
  <r>
    <s v="ORD200120"/>
    <d v="2023-04-11T00:00:00"/>
    <s v="C58108"/>
    <s v="Tablet"/>
    <n v="4"/>
    <n v="629.34"/>
    <s v="986 Main St"/>
    <x v="4"/>
    <s v="Cancelled"/>
    <s v="TRK66218053"/>
    <n v="4"/>
    <s v="WINTER15"/>
    <x v="0"/>
    <n v="2517.36"/>
  </r>
  <r>
    <s v="ORD200121"/>
    <d v="2023-11-30T00:00:00"/>
    <s v="C89822"/>
    <s v="Desk"/>
    <n v="1"/>
    <n v="410.78"/>
    <s v="673 Main St"/>
    <x v="4"/>
    <s v="Cancelled"/>
    <s v="TRK24138598"/>
    <n v="1"/>
    <s v="FREESHIP"/>
    <x v="0"/>
    <n v="410.78"/>
  </r>
  <r>
    <s v="ORD200122"/>
    <d v="2024-04-15T00:00:00"/>
    <s v="C96787"/>
    <s v="Laptop"/>
    <n v="2"/>
    <n v="533.02"/>
    <s v="588 Main St"/>
    <x v="3"/>
    <s v="Shipped"/>
    <s v="TRK30422853"/>
    <n v="2"/>
    <m/>
    <x v="3"/>
    <n v="1066.04"/>
  </r>
  <r>
    <s v="ORD200123"/>
    <d v="2023-07-06T00:00:00"/>
    <s v="C86064"/>
    <s v="Desk"/>
    <n v="3"/>
    <n v="278.04000000000002"/>
    <s v="727 Main St"/>
    <x v="1"/>
    <s v="Delivered"/>
    <s v="TRK62182901"/>
    <n v="5"/>
    <m/>
    <x v="0"/>
    <n v="834.12000000000012"/>
  </r>
  <r>
    <s v="ORD200124"/>
    <d v="2024-07-28T00:00:00"/>
    <s v="C97148"/>
    <s v="Printer"/>
    <n v="4"/>
    <n v="283.79000000000002"/>
    <s v="563 Main St"/>
    <x v="1"/>
    <s v="Pending"/>
    <s v="TRK85321126"/>
    <n v="8"/>
    <m/>
    <x v="4"/>
    <n v="1135.1600000000001"/>
  </r>
  <r>
    <s v="ORD200125"/>
    <d v="2024-11-06T00:00:00"/>
    <s v="C91099"/>
    <s v="Phone"/>
    <n v="2"/>
    <n v="512.65"/>
    <s v="758 Main St"/>
    <x v="2"/>
    <s v="Shipped"/>
    <s v="TRK81846174"/>
    <n v="5"/>
    <s v="SAVE10"/>
    <x v="2"/>
    <n v="1025.3"/>
  </r>
  <r>
    <s v="ORD200126"/>
    <d v="2025-05-03T00:00:00"/>
    <s v="C55606"/>
    <s v="Desk"/>
    <n v="4"/>
    <n v="275.5"/>
    <s v="353 Main St"/>
    <x v="3"/>
    <s v="Shipped"/>
    <s v="TRK68250319"/>
    <n v="8"/>
    <s v="FREESHIP"/>
    <x v="4"/>
    <n v="1102"/>
  </r>
  <r>
    <s v="ORD200127"/>
    <d v="2023-08-10T00:00:00"/>
    <s v="C71486"/>
    <s v="Desk"/>
    <n v="3"/>
    <n v="469.32"/>
    <s v="365 Main St"/>
    <x v="0"/>
    <s v="Shipped"/>
    <s v="TRK73929833"/>
    <n v="3"/>
    <m/>
    <x v="4"/>
    <n v="1407.96"/>
  </r>
  <r>
    <s v="ORD200128"/>
    <d v="2023-02-17T00:00:00"/>
    <s v="C86408"/>
    <s v="Tablet"/>
    <n v="4"/>
    <n v="21.07"/>
    <s v="244 Main St"/>
    <x v="3"/>
    <s v="Delivered"/>
    <s v="TRK41432648"/>
    <n v="4"/>
    <s v="FREESHIP"/>
    <x v="4"/>
    <n v="84.28"/>
  </r>
  <r>
    <s v="ORD200129"/>
    <d v="2023-10-27T00:00:00"/>
    <s v="C52751"/>
    <s v="Laptop"/>
    <n v="4"/>
    <n v="263.93"/>
    <s v="427 Main St"/>
    <x v="0"/>
    <s v="Shipped"/>
    <s v="TRK72481234"/>
    <n v="4"/>
    <s v="FREESHIP"/>
    <x v="3"/>
    <n v="1055.72"/>
  </r>
  <r>
    <s v="ORD200130"/>
    <d v="2025-01-22T00:00:00"/>
    <s v="C29059"/>
    <s v="Desk"/>
    <n v="3"/>
    <n v="501.3"/>
    <s v="513 Main St"/>
    <x v="1"/>
    <s v="Cancelled"/>
    <s v="TRK88360704"/>
    <n v="3"/>
    <s v="WINTER15"/>
    <x v="3"/>
    <n v="1503.9"/>
  </r>
  <r>
    <s v="ORD200131"/>
    <d v="2023-01-08T00:00:00"/>
    <s v="C72862"/>
    <s v="Tablet"/>
    <n v="1"/>
    <n v="84.8"/>
    <s v="606 Main St"/>
    <x v="3"/>
    <s v="Pending"/>
    <s v="TRK51648833"/>
    <n v="5"/>
    <m/>
    <x v="0"/>
    <n v="84.8"/>
  </r>
  <r>
    <s v="ORD200132"/>
    <d v="2023-03-28T00:00:00"/>
    <s v="C96257"/>
    <s v="Tablet"/>
    <n v="4"/>
    <n v="450.75"/>
    <s v="583 Main St"/>
    <x v="2"/>
    <s v="Shipped"/>
    <s v="TRK13137948"/>
    <n v="6"/>
    <s v="WINTER15"/>
    <x v="2"/>
    <n v="1803"/>
  </r>
  <r>
    <s v="ORD200133"/>
    <d v="2025-06-20T00:00:00"/>
    <s v="C87432"/>
    <s v="Chair"/>
    <n v="4"/>
    <n v="302.05"/>
    <s v="636 Main St"/>
    <x v="0"/>
    <s v="Cancelled"/>
    <s v="TRK68969625"/>
    <n v="6"/>
    <s v="SAVE10"/>
    <x v="4"/>
    <n v="1208.2"/>
  </r>
  <r>
    <s v="ORD200134"/>
    <d v="2025-06-23T00:00:00"/>
    <s v="C16253"/>
    <s v="Laptop"/>
    <n v="2"/>
    <n v="199.7"/>
    <s v="583 Main St"/>
    <x v="4"/>
    <s v="Pending"/>
    <s v="TRK17354894"/>
    <n v="4"/>
    <m/>
    <x v="2"/>
    <n v="399.4"/>
  </r>
  <r>
    <s v="ORD200135"/>
    <d v="2023-08-04T00:00:00"/>
    <s v="C79909"/>
    <s v="Printer"/>
    <n v="2"/>
    <n v="68.81"/>
    <s v="642 Main St"/>
    <x v="3"/>
    <s v="Shipped"/>
    <s v="TRK86742257"/>
    <n v="5"/>
    <s v="SAVE10"/>
    <x v="1"/>
    <n v="137.62"/>
  </r>
  <r>
    <s v="ORD200136"/>
    <d v="2024-04-27T00:00:00"/>
    <s v="C73370"/>
    <s v="Laptop"/>
    <n v="1"/>
    <n v="44.35"/>
    <s v="595 Main St"/>
    <x v="3"/>
    <s v="Cancelled"/>
    <s v="TRK67820278"/>
    <n v="1"/>
    <s v="SAVE10"/>
    <x v="0"/>
    <n v="44.35"/>
  </r>
  <r>
    <s v="ORD200137"/>
    <d v="2024-11-26T00:00:00"/>
    <s v="C50682"/>
    <s v="Monitor"/>
    <n v="2"/>
    <n v="250.98"/>
    <s v="598 Main St"/>
    <x v="2"/>
    <s v="Delivered"/>
    <s v="TRK12242337"/>
    <n v="5"/>
    <m/>
    <x v="4"/>
    <n v="501.96"/>
  </r>
  <r>
    <s v="ORD200138"/>
    <d v="2023-12-21T00:00:00"/>
    <s v="C21905"/>
    <s v="Tablet"/>
    <n v="1"/>
    <n v="298.06"/>
    <s v="478 Main St"/>
    <x v="0"/>
    <s v="Pending"/>
    <s v="TRK31863841"/>
    <n v="3"/>
    <s v="WINTER15"/>
    <x v="4"/>
    <n v="298.06"/>
  </r>
  <r>
    <s v="ORD200139"/>
    <d v="2023-04-10T00:00:00"/>
    <s v="C61440"/>
    <s v="Phone"/>
    <n v="1"/>
    <n v="583.9"/>
    <s v="714 Main St"/>
    <x v="4"/>
    <s v="Returned"/>
    <s v="TRK33114521"/>
    <n v="1"/>
    <m/>
    <x v="2"/>
    <n v="583.9"/>
  </r>
  <r>
    <s v="ORD200140"/>
    <d v="2025-05-31T00:00:00"/>
    <s v="C33110"/>
    <s v="Chair"/>
    <n v="3"/>
    <n v="528.14"/>
    <s v="388 Main St"/>
    <x v="1"/>
    <s v="Delivered"/>
    <s v="TRK38624225"/>
    <n v="3"/>
    <s v="FREESHIP"/>
    <x v="2"/>
    <n v="1584.42"/>
  </r>
  <r>
    <s v="ORD200141"/>
    <d v="2023-11-18T00:00:00"/>
    <s v="C80004"/>
    <s v="Printer"/>
    <n v="3"/>
    <n v="684.14"/>
    <s v="151 Main St"/>
    <x v="4"/>
    <s v="Cancelled"/>
    <s v="TRK66230753"/>
    <n v="3"/>
    <s v="WINTER15"/>
    <x v="0"/>
    <n v="2052.42"/>
  </r>
  <r>
    <s v="ORD200142"/>
    <d v="2023-09-06T00:00:00"/>
    <s v="C86374"/>
    <s v="Desk"/>
    <n v="5"/>
    <n v="272.77"/>
    <s v="573 Main St"/>
    <x v="4"/>
    <s v="Pending"/>
    <s v="TRK79451491"/>
    <n v="7"/>
    <s v="WINTER15"/>
    <x v="2"/>
    <n v="1363.85"/>
  </r>
  <r>
    <s v="ORD200143"/>
    <d v="2024-06-13T00:00:00"/>
    <s v="C66521"/>
    <s v="Chair"/>
    <n v="4"/>
    <n v="400.07"/>
    <s v="933 Main St"/>
    <x v="1"/>
    <s v="Shipped"/>
    <s v="TRK34654244"/>
    <n v="5"/>
    <m/>
    <x v="1"/>
    <n v="1600.28"/>
  </r>
  <r>
    <s v="ORD200144"/>
    <d v="2023-08-04T00:00:00"/>
    <s v="C63365"/>
    <s v="Desk"/>
    <n v="5"/>
    <n v="219.78"/>
    <s v="895 Main St"/>
    <x v="2"/>
    <s v="Pending"/>
    <s v="TRK80100887"/>
    <n v="8"/>
    <m/>
    <x v="3"/>
    <n v="1098.9000000000001"/>
  </r>
  <r>
    <s v="ORD200145"/>
    <d v="2024-03-02T00:00:00"/>
    <s v="C85929"/>
    <s v="Printer"/>
    <n v="3"/>
    <n v="146.91"/>
    <s v="798 Main St"/>
    <x v="2"/>
    <s v="Delivered"/>
    <s v="TRK29318610"/>
    <n v="6"/>
    <s v="FREESHIP"/>
    <x v="4"/>
    <n v="440.73"/>
  </r>
  <r>
    <s v="ORD200146"/>
    <d v="2025-04-30T00:00:00"/>
    <s v="C84645"/>
    <s v="Tablet"/>
    <n v="2"/>
    <n v="411.49"/>
    <s v="404 Main St"/>
    <x v="2"/>
    <s v="Returned"/>
    <s v="TRK68893369"/>
    <n v="4"/>
    <m/>
    <x v="0"/>
    <n v="822.98"/>
  </r>
  <r>
    <s v="ORD200147"/>
    <d v="2025-05-06T00:00:00"/>
    <s v="C46316"/>
    <s v="Laptop"/>
    <n v="2"/>
    <n v="465.18"/>
    <s v="893 Main St"/>
    <x v="2"/>
    <s v="Cancelled"/>
    <s v="TRK16196000"/>
    <n v="2"/>
    <s v="SAVE10"/>
    <x v="4"/>
    <n v="930.36"/>
  </r>
  <r>
    <s v="ORD200148"/>
    <d v="2024-12-15T00:00:00"/>
    <s v="C35100"/>
    <s v="Phone"/>
    <n v="2"/>
    <n v="319.91000000000003"/>
    <s v="139 Main St"/>
    <x v="2"/>
    <s v="Cancelled"/>
    <s v="TRK56853491"/>
    <n v="3"/>
    <s v="WINTER15"/>
    <x v="4"/>
    <n v="639.82000000000005"/>
  </r>
  <r>
    <s v="ORD200149"/>
    <d v="2023-12-27T00:00:00"/>
    <s v="C39671"/>
    <s v="Laptop"/>
    <n v="1"/>
    <n v="217.56"/>
    <s v="174 Main St"/>
    <x v="0"/>
    <s v="Delivered"/>
    <s v="TRK47153818"/>
    <n v="3"/>
    <m/>
    <x v="3"/>
    <n v="217.56"/>
  </r>
  <r>
    <s v="ORD200150"/>
    <d v="2023-12-13T00:00:00"/>
    <s v="C25503"/>
    <s v="Phone"/>
    <n v="2"/>
    <n v="105.57"/>
    <s v="981 Main St"/>
    <x v="0"/>
    <s v="Returned"/>
    <s v="TRK29878837"/>
    <n v="5"/>
    <s v="WINTER15"/>
    <x v="4"/>
    <n v="211.14"/>
  </r>
  <r>
    <s v="ORD200151"/>
    <d v="2023-12-01T00:00:00"/>
    <s v="C32960"/>
    <s v="Printer"/>
    <n v="5"/>
    <n v="444.76"/>
    <s v="947 Main St"/>
    <x v="0"/>
    <s v="Returned"/>
    <s v="TRK91226500"/>
    <n v="7"/>
    <m/>
    <x v="2"/>
    <n v="2223.8000000000002"/>
  </r>
  <r>
    <s v="ORD200152"/>
    <d v="2025-01-02T00:00:00"/>
    <s v="C77736"/>
    <s v="Chair"/>
    <n v="2"/>
    <n v="399.04"/>
    <s v="659 Main St"/>
    <x v="4"/>
    <s v="Cancelled"/>
    <s v="TRK90329250"/>
    <n v="3"/>
    <s v="FREESHIP"/>
    <x v="1"/>
    <n v="798.08"/>
  </r>
  <r>
    <s v="ORD200153"/>
    <d v="2024-12-18T00:00:00"/>
    <s v="C71570"/>
    <s v="Chair"/>
    <n v="4"/>
    <n v="534.48"/>
    <s v="437 Main St"/>
    <x v="1"/>
    <s v="Returned"/>
    <s v="TRK95992269"/>
    <n v="9"/>
    <s v="WINTER15"/>
    <x v="0"/>
    <n v="2137.92"/>
  </r>
  <r>
    <s v="ORD200154"/>
    <d v="2023-07-20T00:00:00"/>
    <s v="C73587"/>
    <s v="Phone"/>
    <n v="4"/>
    <n v="408.21"/>
    <s v="727 Main St"/>
    <x v="2"/>
    <s v="Pending"/>
    <s v="TRK13955543"/>
    <n v="9"/>
    <m/>
    <x v="0"/>
    <n v="1632.84"/>
  </r>
  <r>
    <s v="ORD200155"/>
    <d v="2023-02-27T00:00:00"/>
    <s v="C62740"/>
    <s v="Phone"/>
    <n v="1"/>
    <n v="424.4"/>
    <s v="446 Main St"/>
    <x v="1"/>
    <s v="Shipped"/>
    <s v="TRK20706408"/>
    <n v="6"/>
    <s v="WINTER15"/>
    <x v="1"/>
    <n v="424.4"/>
  </r>
  <r>
    <s v="ORD200156"/>
    <d v="2024-11-08T00:00:00"/>
    <s v="C58808"/>
    <s v="Chair"/>
    <n v="2"/>
    <n v="269.83"/>
    <s v="651 Main St"/>
    <x v="1"/>
    <s v="Delivered"/>
    <s v="TRK24451893"/>
    <n v="4"/>
    <s v="SAVE10"/>
    <x v="2"/>
    <n v="539.66"/>
  </r>
  <r>
    <s v="ORD200157"/>
    <d v="2025-02-21T00:00:00"/>
    <s v="C50422"/>
    <s v="Monitor"/>
    <n v="2"/>
    <n v="564.58000000000004"/>
    <s v="636 Main St"/>
    <x v="1"/>
    <s v="Returned"/>
    <s v="TRK71227815"/>
    <n v="4"/>
    <s v="WINTER15"/>
    <x v="3"/>
    <n v="1129.1600000000001"/>
  </r>
  <r>
    <s v="ORD200158"/>
    <d v="2024-05-16T00:00:00"/>
    <s v="C23334"/>
    <s v="Tablet"/>
    <n v="1"/>
    <n v="331.06"/>
    <s v="737 Main St"/>
    <x v="2"/>
    <s v="Pending"/>
    <s v="TRK46335144"/>
    <n v="5"/>
    <s v="WINTER15"/>
    <x v="0"/>
    <n v="331.06"/>
  </r>
  <r>
    <s v="ORD200159"/>
    <d v="2023-10-31T00:00:00"/>
    <s v="C48965"/>
    <s v="Printer"/>
    <n v="1"/>
    <n v="299.35000000000002"/>
    <s v="819 Main St"/>
    <x v="2"/>
    <s v="Cancelled"/>
    <s v="TRK50921780"/>
    <n v="5"/>
    <s v="WINTER15"/>
    <x v="2"/>
    <n v="299.35000000000002"/>
  </r>
  <r>
    <s v="ORD200160"/>
    <d v="2023-02-17T00:00:00"/>
    <s v="C38669"/>
    <s v="Monitor"/>
    <n v="4"/>
    <n v="101.32"/>
    <s v="240 Main St"/>
    <x v="4"/>
    <s v="Pending"/>
    <s v="TRK81738254"/>
    <n v="7"/>
    <m/>
    <x v="1"/>
    <n v="405.28"/>
  </r>
  <r>
    <s v="ORD200161"/>
    <d v="2024-03-29T00:00:00"/>
    <s v="C35091"/>
    <s v="Monitor"/>
    <n v="1"/>
    <n v="211.14"/>
    <s v="513 Main St"/>
    <x v="2"/>
    <s v="Cancelled"/>
    <s v="TRK53784452"/>
    <n v="1"/>
    <s v="SAVE10"/>
    <x v="3"/>
    <n v="211.14"/>
  </r>
  <r>
    <s v="ORD200162"/>
    <d v="2023-07-27T00:00:00"/>
    <s v="C82313"/>
    <s v="Chair"/>
    <n v="3"/>
    <n v="65.86"/>
    <s v="917 Main St"/>
    <x v="1"/>
    <s v="Pending"/>
    <s v="TRK79854624"/>
    <n v="8"/>
    <s v="WINTER15"/>
    <x v="4"/>
    <n v="197.58"/>
  </r>
  <r>
    <s v="ORD200163"/>
    <d v="2025-06-24T00:00:00"/>
    <s v="C99589"/>
    <s v="Tablet"/>
    <n v="1"/>
    <n v="641.39"/>
    <s v="277 Main St"/>
    <x v="1"/>
    <s v="Cancelled"/>
    <s v="TRK16695001"/>
    <n v="1"/>
    <m/>
    <x v="1"/>
    <n v="641.39"/>
  </r>
  <r>
    <s v="ORD200164"/>
    <d v="2023-12-28T00:00:00"/>
    <s v="C70566"/>
    <s v="Desk"/>
    <n v="5"/>
    <n v="536.58000000000004"/>
    <s v="667 Main St"/>
    <x v="3"/>
    <s v="Pending"/>
    <s v="TRK49673411"/>
    <n v="5"/>
    <s v="SAVE10"/>
    <x v="4"/>
    <n v="2682.9"/>
  </r>
  <r>
    <s v="ORD200165"/>
    <d v="2024-09-14T00:00:00"/>
    <s v="C60355"/>
    <s v="Monitor"/>
    <n v="2"/>
    <n v="500.29"/>
    <s v="226 Main St"/>
    <x v="1"/>
    <s v="Returned"/>
    <s v="TRK30155194"/>
    <n v="7"/>
    <s v="WINTER15"/>
    <x v="4"/>
    <n v="1000.58"/>
  </r>
  <r>
    <s v="ORD200166"/>
    <d v="2025-03-04T00:00:00"/>
    <s v="C28889"/>
    <s v="Chair"/>
    <n v="3"/>
    <n v="86.29"/>
    <s v="565 Main St"/>
    <x v="4"/>
    <s v="Delivered"/>
    <s v="TRK23791726"/>
    <n v="6"/>
    <s v="WINTER15"/>
    <x v="0"/>
    <n v="258.87"/>
  </r>
  <r>
    <s v="ORD200167"/>
    <d v="2023-05-27T00:00:00"/>
    <s v="C88304"/>
    <s v="Chair"/>
    <n v="2"/>
    <n v="384.14"/>
    <s v="219 Main St"/>
    <x v="1"/>
    <s v="Returned"/>
    <s v="TRK44268941"/>
    <n v="2"/>
    <s v="WINTER15"/>
    <x v="2"/>
    <n v="768.28"/>
  </r>
  <r>
    <s v="ORD200168"/>
    <d v="2025-01-04T00:00:00"/>
    <s v="C49517"/>
    <s v="Printer"/>
    <n v="1"/>
    <n v="594.96"/>
    <s v="878 Main St"/>
    <x v="4"/>
    <s v="Returned"/>
    <s v="TRK78551375"/>
    <n v="6"/>
    <m/>
    <x v="3"/>
    <n v="594.96"/>
  </r>
  <r>
    <s v="ORD200169"/>
    <d v="2024-04-07T00:00:00"/>
    <s v="C35785"/>
    <s v="Printer"/>
    <n v="1"/>
    <n v="427.82"/>
    <s v="732 Main St"/>
    <x v="1"/>
    <s v="Delivered"/>
    <s v="TRK78923089"/>
    <n v="2"/>
    <s v="WINTER15"/>
    <x v="2"/>
    <n v="427.82"/>
  </r>
  <r>
    <s v="ORD200170"/>
    <d v="2025-04-04T00:00:00"/>
    <s v="C80223"/>
    <s v="Desk"/>
    <n v="4"/>
    <n v="662.94"/>
    <s v="535 Main St"/>
    <x v="4"/>
    <s v="Cancelled"/>
    <s v="TRK68632951"/>
    <n v="8"/>
    <s v="SAVE10"/>
    <x v="0"/>
    <n v="2651.76"/>
  </r>
  <r>
    <s v="ORD200171"/>
    <d v="2023-08-15T00:00:00"/>
    <s v="C20448"/>
    <s v="Tablet"/>
    <n v="2"/>
    <n v="148.22"/>
    <s v="336 Main St"/>
    <x v="2"/>
    <s v="Delivered"/>
    <s v="TRK67379895"/>
    <n v="7"/>
    <s v="WINTER15"/>
    <x v="0"/>
    <n v="296.44"/>
  </r>
  <r>
    <s v="ORD200172"/>
    <d v="2025-04-06T00:00:00"/>
    <s v="C34134"/>
    <s v="Printer"/>
    <n v="1"/>
    <n v="254.12"/>
    <s v="365 Main St"/>
    <x v="1"/>
    <s v="Delivered"/>
    <s v="TRK43074303"/>
    <n v="1"/>
    <s v="WINTER15"/>
    <x v="2"/>
    <n v="254.12"/>
  </r>
  <r>
    <s v="ORD200173"/>
    <d v="2024-03-24T00:00:00"/>
    <s v="C95901"/>
    <s v="Phone"/>
    <n v="3"/>
    <n v="664.46"/>
    <s v="806 Main St"/>
    <x v="1"/>
    <s v="Delivered"/>
    <s v="TRK56989066"/>
    <n v="4"/>
    <s v="FREESHIP"/>
    <x v="4"/>
    <n v="1993.38"/>
  </r>
  <r>
    <s v="ORD200174"/>
    <d v="2024-04-16T00:00:00"/>
    <s v="C51145"/>
    <s v="Printer"/>
    <n v="4"/>
    <n v="600.80999999999995"/>
    <s v="790 Main St"/>
    <x v="0"/>
    <s v="Delivered"/>
    <s v="TRK59154274"/>
    <n v="9"/>
    <s v="SAVE10"/>
    <x v="2"/>
    <n v="2403.2399999999998"/>
  </r>
  <r>
    <s v="ORD200175"/>
    <d v="2025-02-08T00:00:00"/>
    <s v="C78170"/>
    <s v="Chair"/>
    <n v="5"/>
    <n v="68.34"/>
    <s v="332 Main St"/>
    <x v="0"/>
    <s v="Pending"/>
    <s v="TRK71410605"/>
    <n v="6"/>
    <s v="WINTER15"/>
    <x v="1"/>
    <n v="341.7"/>
  </r>
  <r>
    <s v="ORD200176"/>
    <d v="2025-06-28T00:00:00"/>
    <s v="C80151"/>
    <s v="Tablet"/>
    <n v="4"/>
    <n v="430.83"/>
    <s v="553 Main St"/>
    <x v="3"/>
    <s v="Pending"/>
    <s v="TRK88251529"/>
    <n v="8"/>
    <s v="WINTER15"/>
    <x v="1"/>
    <n v="1723.32"/>
  </r>
  <r>
    <s v="ORD200177"/>
    <d v="2023-08-05T00:00:00"/>
    <s v="C55632"/>
    <s v="Chair"/>
    <n v="5"/>
    <n v="431.69"/>
    <s v="354 Main St"/>
    <x v="2"/>
    <s v="Pending"/>
    <s v="TRK13003066"/>
    <n v="10"/>
    <m/>
    <x v="3"/>
    <n v="2158.4499999999998"/>
  </r>
  <r>
    <s v="ORD200178"/>
    <d v="2024-04-11T00:00:00"/>
    <s v="C53070"/>
    <s v="Chair"/>
    <n v="4"/>
    <n v="512.05999999999995"/>
    <s v="283 Main St"/>
    <x v="1"/>
    <s v="Delivered"/>
    <s v="TRK49791755"/>
    <n v="5"/>
    <s v="SAVE10"/>
    <x v="4"/>
    <n v="2048.2399999999998"/>
  </r>
  <r>
    <s v="ORD200179"/>
    <d v="2024-11-24T00:00:00"/>
    <s v="C27401"/>
    <s v="Laptop"/>
    <n v="3"/>
    <n v="539.91"/>
    <s v="500 Main St"/>
    <x v="2"/>
    <s v="Delivered"/>
    <s v="TRK14332053"/>
    <n v="8"/>
    <m/>
    <x v="2"/>
    <n v="1619.73"/>
  </r>
  <r>
    <s v="ORD200180"/>
    <d v="2023-03-18T00:00:00"/>
    <s v="C87216"/>
    <s v="Tablet"/>
    <n v="5"/>
    <n v="316.07"/>
    <s v="970 Main St"/>
    <x v="4"/>
    <s v="Returned"/>
    <s v="TRK18713727"/>
    <n v="10"/>
    <m/>
    <x v="4"/>
    <n v="1580.35"/>
  </r>
  <r>
    <s v="ORD200181"/>
    <d v="2024-08-31T00:00:00"/>
    <s v="C38966"/>
    <s v="Printer"/>
    <n v="5"/>
    <n v="404.39"/>
    <s v="247 Main St"/>
    <x v="1"/>
    <s v="Shipped"/>
    <s v="TRK17205146"/>
    <n v="10"/>
    <m/>
    <x v="1"/>
    <n v="2021.95"/>
  </r>
  <r>
    <s v="ORD200182"/>
    <d v="2025-03-19T00:00:00"/>
    <s v="C16612"/>
    <s v="Desk"/>
    <n v="1"/>
    <n v="600.54"/>
    <s v="596 Main St"/>
    <x v="0"/>
    <s v="Pending"/>
    <s v="TRK96188223"/>
    <n v="4"/>
    <s v="WINTER15"/>
    <x v="4"/>
    <n v="600.54"/>
  </r>
  <r>
    <s v="ORD200183"/>
    <d v="2024-04-18T00:00:00"/>
    <s v="C39246"/>
    <s v="Monitor"/>
    <n v="5"/>
    <n v="186.28"/>
    <s v="258 Main St"/>
    <x v="0"/>
    <s v="Delivered"/>
    <s v="TRK16658182"/>
    <n v="8"/>
    <s v="SAVE10"/>
    <x v="2"/>
    <n v="931.4"/>
  </r>
  <r>
    <s v="ORD200184"/>
    <d v="2024-04-04T00:00:00"/>
    <s v="C65180"/>
    <s v="Tablet"/>
    <n v="4"/>
    <n v="214.54"/>
    <s v="231 Main St"/>
    <x v="3"/>
    <s v="Cancelled"/>
    <s v="TRK39255469"/>
    <n v="7"/>
    <m/>
    <x v="1"/>
    <n v="858.16"/>
  </r>
  <r>
    <s v="ORD200185"/>
    <d v="2025-02-02T00:00:00"/>
    <s v="C46877"/>
    <s v="Laptop"/>
    <n v="1"/>
    <n v="210.7"/>
    <s v="572 Main St"/>
    <x v="1"/>
    <s v="Shipped"/>
    <s v="TRK96935978"/>
    <n v="2"/>
    <s v="WINTER15"/>
    <x v="1"/>
    <n v="210.7"/>
  </r>
  <r>
    <s v="ORD200186"/>
    <d v="2023-12-07T00:00:00"/>
    <s v="C30334"/>
    <s v="Phone"/>
    <n v="2"/>
    <n v="133.55000000000001"/>
    <s v="322 Main St"/>
    <x v="4"/>
    <s v="Pending"/>
    <s v="TRK66388885"/>
    <n v="7"/>
    <s v="FREESHIP"/>
    <x v="3"/>
    <n v="267.10000000000002"/>
  </r>
  <r>
    <s v="ORD200187"/>
    <d v="2023-02-08T00:00:00"/>
    <s v="C21227"/>
    <s v="Chair"/>
    <n v="1"/>
    <n v="590.87"/>
    <s v="689 Main St"/>
    <x v="3"/>
    <s v="Returned"/>
    <s v="TRK79129657"/>
    <n v="6"/>
    <s v="FREESHIP"/>
    <x v="1"/>
    <n v="590.87"/>
  </r>
  <r>
    <s v="ORD200188"/>
    <d v="2025-03-15T00:00:00"/>
    <s v="C97715"/>
    <s v="Chair"/>
    <n v="2"/>
    <n v="363.91"/>
    <s v="927 Main St"/>
    <x v="3"/>
    <s v="Shipped"/>
    <s v="TRK19515949"/>
    <n v="2"/>
    <s v="FREESHIP"/>
    <x v="1"/>
    <n v="727.82"/>
  </r>
  <r>
    <s v="ORD200189"/>
    <d v="2023-07-05T00:00:00"/>
    <s v="C48939"/>
    <s v="Printer"/>
    <n v="5"/>
    <n v="429.45"/>
    <s v="597 Main St"/>
    <x v="3"/>
    <s v="Cancelled"/>
    <s v="TRK62786764"/>
    <n v="5"/>
    <s v="WINTER15"/>
    <x v="2"/>
    <n v="2147.25"/>
  </r>
  <r>
    <s v="ORD200190"/>
    <d v="2024-08-31T00:00:00"/>
    <s v="C35483"/>
    <s v="Printer"/>
    <n v="3"/>
    <n v="223.7"/>
    <s v="725 Main St"/>
    <x v="4"/>
    <s v="Returned"/>
    <s v="TRK79638203"/>
    <n v="3"/>
    <s v="SAVE10"/>
    <x v="2"/>
    <n v="671.09999999999991"/>
  </r>
  <r>
    <s v="ORD200191"/>
    <d v="2025-03-08T00:00:00"/>
    <s v="C51494"/>
    <s v="Laptop"/>
    <n v="2"/>
    <n v="488.87"/>
    <s v="505 Main St"/>
    <x v="1"/>
    <s v="Cancelled"/>
    <s v="TRK58520306"/>
    <n v="4"/>
    <s v="FREESHIP"/>
    <x v="4"/>
    <n v="977.74"/>
  </r>
  <r>
    <s v="ORD200192"/>
    <d v="2023-08-11T00:00:00"/>
    <s v="C58410"/>
    <s v="Desk"/>
    <n v="1"/>
    <n v="645.46"/>
    <s v="151 Main St"/>
    <x v="3"/>
    <s v="Cancelled"/>
    <s v="TRK19749672"/>
    <n v="5"/>
    <s v="SAVE10"/>
    <x v="4"/>
    <n v="645.46"/>
  </r>
  <r>
    <s v="ORD200193"/>
    <d v="2023-07-21T00:00:00"/>
    <s v="C11644"/>
    <s v="Printer"/>
    <n v="1"/>
    <n v="46.66"/>
    <s v="429 Main St"/>
    <x v="4"/>
    <s v="Cancelled"/>
    <s v="TRK81320339"/>
    <n v="6"/>
    <m/>
    <x v="4"/>
    <n v="46.66"/>
  </r>
  <r>
    <s v="ORD200194"/>
    <d v="2024-06-08T00:00:00"/>
    <s v="C53501"/>
    <s v="Monitor"/>
    <n v="1"/>
    <n v="249.57"/>
    <s v="899 Main St"/>
    <x v="4"/>
    <s v="Shipped"/>
    <s v="TRK90144892"/>
    <n v="3"/>
    <s v="FREESHIP"/>
    <x v="4"/>
    <n v="249.57"/>
  </r>
  <r>
    <s v="ORD200195"/>
    <d v="2024-04-22T00:00:00"/>
    <s v="C63619"/>
    <s v="Chair"/>
    <n v="3"/>
    <n v="619.21"/>
    <s v="801 Main St"/>
    <x v="0"/>
    <s v="Cancelled"/>
    <s v="TRK65385674"/>
    <n v="6"/>
    <m/>
    <x v="2"/>
    <n v="1857.63"/>
  </r>
  <r>
    <s v="ORD200196"/>
    <d v="2025-01-24T00:00:00"/>
    <s v="C40882"/>
    <s v="Desk"/>
    <n v="4"/>
    <n v="217.13"/>
    <s v="719 Main St"/>
    <x v="4"/>
    <s v="Delivered"/>
    <s v="TRK64165503"/>
    <n v="8"/>
    <s v="WINTER15"/>
    <x v="2"/>
    <n v="868.52"/>
  </r>
  <r>
    <s v="ORD200197"/>
    <d v="2023-08-27T00:00:00"/>
    <s v="C80135"/>
    <s v="Laptop"/>
    <n v="5"/>
    <n v="221.51"/>
    <s v="723 Main St"/>
    <x v="4"/>
    <s v="Returned"/>
    <s v="TRK95222269"/>
    <n v="5"/>
    <s v="WINTER15"/>
    <x v="1"/>
    <n v="1107.55"/>
  </r>
  <r>
    <s v="ORD200198"/>
    <d v="2024-06-11T00:00:00"/>
    <s v="C37594"/>
    <s v="Laptop"/>
    <n v="4"/>
    <n v="340.3"/>
    <s v="926 Main St"/>
    <x v="4"/>
    <s v="Cancelled"/>
    <s v="TRK94405162"/>
    <n v="8"/>
    <s v="SAVE10"/>
    <x v="1"/>
    <n v="1361.2"/>
  </r>
  <r>
    <s v="ORD200199"/>
    <d v="2025-01-23T00:00:00"/>
    <s v="C87524"/>
    <s v="Phone"/>
    <n v="1"/>
    <n v="625"/>
    <s v="358 Main St"/>
    <x v="1"/>
    <s v="Returned"/>
    <s v="TRK21114341"/>
    <n v="5"/>
    <s v="WINTER15"/>
    <x v="4"/>
    <n v="625"/>
  </r>
  <r>
    <s v="ORD200200"/>
    <d v="2025-06-07T00:00:00"/>
    <s v="C97681"/>
    <s v="Tablet"/>
    <n v="5"/>
    <n v="433.26"/>
    <s v="895 Main St"/>
    <x v="2"/>
    <s v="Delivered"/>
    <s v="TRK37531040"/>
    <n v="9"/>
    <s v="SAVE10"/>
    <x v="4"/>
    <n v="2166.3000000000002"/>
  </r>
  <r>
    <s v="ORD200201"/>
    <d v="2023-06-18T00:00:00"/>
    <s v="C10126"/>
    <s v="Monitor"/>
    <n v="2"/>
    <n v="674.9"/>
    <s v="146 Main St"/>
    <x v="1"/>
    <s v="Shipped"/>
    <s v="TRK75607531"/>
    <n v="4"/>
    <s v="SAVE10"/>
    <x v="3"/>
    <n v="1349.8"/>
  </r>
  <r>
    <s v="ORD200202"/>
    <d v="2025-02-06T00:00:00"/>
    <s v="C36938"/>
    <s v="Monitor"/>
    <n v="3"/>
    <n v="253.98"/>
    <s v="636 Main St"/>
    <x v="2"/>
    <s v="Cancelled"/>
    <s v="TRK52522904"/>
    <n v="3"/>
    <s v="FREESHIP"/>
    <x v="2"/>
    <n v="761.93999999999994"/>
  </r>
  <r>
    <s v="ORD200203"/>
    <d v="2025-01-21T00:00:00"/>
    <s v="C99173"/>
    <s v="Printer"/>
    <n v="3"/>
    <n v="356.84"/>
    <s v="172 Main St"/>
    <x v="1"/>
    <s v="Shipped"/>
    <s v="TRK89849342"/>
    <n v="5"/>
    <s v="SAVE10"/>
    <x v="0"/>
    <n v="1070.52"/>
  </r>
  <r>
    <s v="ORD200204"/>
    <d v="2023-09-05T00:00:00"/>
    <s v="C99775"/>
    <s v="Laptop"/>
    <n v="4"/>
    <n v="413.71"/>
    <s v="478 Main St"/>
    <x v="3"/>
    <s v="Cancelled"/>
    <s v="TRK21638425"/>
    <n v="9"/>
    <s v="FREESHIP"/>
    <x v="3"/>
    <n v="1654.84"/>
  </r>
  <r>
    <s v="ORD200205"/>
    <d v="2023-03-04T00:00:00"/>
    <s v="C19266"/>
    <s v="Desk"/>
    <n v="3"/>
    <n v="147.38999999999999"/>
    <s v="609 Main St"/>
    <x v="0"/>
    <s v="Returned"/>
    <s v="TRK58357269"/>
    <n v="3"/>
    <m/>
    <x v="2"/>
    <n v="442.17"/>
  </r>
  <r>
    <s v="ORD200206"/>
    <d v="2024-04-16T00:00:00"/>
    <s v="C31072"/>
    <s v="Laptop"/>
    <n v="4"/>
    <n v="229.1"/>
    <s v="729 Main St"/>
    <x v="3"/>
    <s v="Returned"/>
    <s v="TRK77172975"/>
    <n v="8"/>
    <s v="WINTER15"/>
    <x v="2"/>
    <n v="916.4"/>
  </r>
  <r>
    <s v="ORD200207"/>
    <d v="2025-03-18T00:00:00"/>
    <s v="C54595"/>
    <s v="Phone"/>
    <n v="1"/>
    <n v="121.96"/>
    <s v="999 Main St"/>
    <x v="0"/>
    <s v="Delivered"/>
    <s v="TRK44416659"/>
    <n v="3"/>
    <m/>
    <x v="4"/>
    <n v="121.96"/>
  </r>
  <r>
    <s v="ORD200208"/>
    <d v="2024-10-08T00:00:00"/>
    <s v="C87777"/>
    <s v="Desk"/>
    <n v="2"/>
    <n v="408.32"/>
    <s v="597 Main St"/>
    <x v="1"/>
    <s v="Shipped"/>
    <s v="TRK29003608"/>
    <n v="3"/>
    <s v="FREESHIP"/>
    <x v="3"/>
    <n v="816.64"/>
  </r>
  <r>
    <s v="ORD200209"/>
    <d v="2023-08-29T00:00:00"/>
    <s v="C35854"/>
    <s v="Tablet"/>
    <n v="5"/>
    <n v="187.97"/>
    <s v="706 Main St"/>
    <x v="4"/>
    <s v="Returned"/>
    <s v="TRK30615168"/>
    <n v="9"/>
    <s v="SAVE10"/>
    <x v="4"/>
    <n v="939.85"/>
  </r>
  <r>
    <s v="ORD200210"/>
    <d v="2024-12-05T00:00:00"/>
    <s v="C93821"/>
    <s v="Chair"/>
    <n v="3"/>
    <n v="358.48"/>
    <s v="513 Main St"/>
    <x v="3"/>
    <s v="Delivered"/>
    <s v="TRK10658539"/>
    <n v="7"/>
    <s v="FREESHIP"/>
    <x v="3"/>
    <n v="1075.44"/>
  </r>
  <r>
    <s v="ORD200211"/>
    <d v="2025-01-03T00:00:00"/>
    <s v="C54390"/>
    <s v="Printer"/>
    <n v="3"/>
    <n v="193.58"/>
    <s v="185 Main St"/>
    <x v="3"/>
    <s v="Pending"/>
    <s v="TRK83853742"/>
    <n v="7"/>
    <s v="FREESHIP"/>
    <x v="2"/>
    <n v="580.74"/>
  </r>
  <r>
    <s v="ORD200212"/>
    <d v="2023-06-20T00:00:00"/>
    <s v="C53215"/>
    <s v="Monitor"/>
    <n v="1"/>
    <n v="265.38"/>
    <s v="367 Main St"/>
    <x v="2"/>
    <s v="Cancelled"/>
    <s v="TRK34751835"/>
    <n v="6"/>
    <s v="WINTER15"/>
    <x v="2"/>
    <n v="265.38"/>
  </r>
  <r>
    <s v="ORD200213"/>
    <d v="2023-04-20T00:00:00"/>
    <s v="C71122"/>
    <s v="Laptop"/>
    <n v="1"/>
    <n v="634.4"/>
    <s v="317 Main St"/>
    <x v="4"/>
    <s v="Cancelled"/>
    <s v="TRK54757882"/>
    <n v="6"/>
    <s v="SAVE10"/>
    <x v="2"/>
    <n v="634.4"/>
  </r>
  <r>
    <s v="ORD200214"/>
    <d v="2024-08-21T00:00:00"/>
    <s v="C29483"/>
    <s v="Desk"/>
    <n v="4"/>
    <n v="305.72000000000003"/>
    <s v="673 Main St"/>
    <x v="1"/>
    <s v="Delivered"/>
    <s v="TRK89423603"/>
    <n v="5"/>
    <m/>
    <x v="3"/>
    <n v="1222.8800000000001"/>
  </r>
  <r>
    <s v="ORD200215"/>
    <d v="2023-08-10T00:00:00"/>
    <s v="C26767"/>
    <s v="Printer"/>
    <n v="1"/>
    <n v="303.60000000000002"/>
    <s v="432 Main St"/>
    <x v="4"/>
    <s v="Shipped"/>
    <s v="TRK24585307"/>
    <n v="5"/>
    <s v="FREESHIP"/>
    <x v="3"/>
    <n v="303.60000000000002"/>
  </r>
  <r>
    <s v="ORD200216"/>
    <d v="2025-04-15T00:00:00"/>
    <s v="C70492"/>
    <s v="Monitor"/>
    <n v="4"/>
    <n v="496"/>
    <s v="811 Main St"/>
    <x v="1"/>
    <s v="Cancelled"/>
    <s v="TRK84625405"/>
    <n v="8"/>
    <s v="WINTER15"/>
    <x v="4"/>
    <n v="1984"/>
  </r>
  <r>
    <s v="ORD200217"/>
    <d v="2024-05-20T00:00:00"/>
    <s v="C61549"/>
    <s v="Desk"/>
    <n v="4"/>
    <n v="321.51"/>
    <s v="908 Main St"/>
    <x v="4"/>
    <s v="Returned"/>
    <s v="TRK65596914"/>
    <n v="9"/>
    <m/>
    <x v="4"/>
    <n v="1286.04"/>
  </r>
  <r>
    <s v="ORD200218"/>
    <d v="2023-04-28T00:00:00"/>
    <s v="C11665"/>
    <s v="Tablet"/>
    <n v="3"/>
    <n v="112.46"/>
    <s v="882 Main St"/>
    <x v="3"/>
    <s v="Shipped"/>
    <s v="TRK10993930"/>
    <n v="6"/>
    <s v="SAVE10"/>
    <x v="0"/>
    <n v="337.38"/>
  </r>
  <r>
    <s v="ORD200219"/>
    <d v="2025-05-02T00:00:00"/>
    <s v="C48946"/>
    <s v="Laptop"/>
    <n v="5"/>
    <n v="61.97"/>
    <s v="457 Main St"/>
    <x v="4"/>
    <s v="Delivered"/>
    <s v="TRK99387220"/>
    <n v="6"/>
    <s v="SAVE10"/>
    <x v="2"/>
    <n v="309.85000000000002"/>
  </r>
  <r>
    <s v="ORD200220"/>
    <d v="2023-07-18T00:00:00"/>
    <s v="C79506"/>
    <s v="Laptop"/>
    <n v="2"/>
    <n v="373.17"/>
    <s v="497 Main St"/>
    <x v="2"/>
    <s v="Pending"/>
    <s v="TRK95188748"/>
    <n v="6"/>
    <s v="SAVE10"/>
    <x v="1"/>
    <n v="746.34"/>
  </r>
  <r>
    <s v="ORD200221"/>
    <d v="2024-02-23T00:00:00"/>
    <s v="C93473"/>
    <s v="Tablet"/>
    <n v="5"/>
    <n v="639.37"/>
    <s v="552 Main St"/>
    <x v="0"/>
    <s v="Pending"/>
    <s v="TRK50003989"/>
    <n v="6"/>
    <s v="SAVE10"/>
    <x v="4"/>
    <n v="3196.85"/>
  </r>
  <r>
    <s v="ORD200222"/>
    <d v="2023-05-04T00:00:00"/>
    <s v="C43124"/>
    <s v="Chair"/>
    <n v="4"/>
    <n v="693.36"/>
    <s v="931 Main St"/>
    <x v="1"/>
    <s v="Shipped"/>
    <s v="TRK17293348"/>
    <n v="8"/>
    <m/>
    <x v="0"/>
    <n v="2773.44"/>
  </r>
  <r>
    <s v="ORD200223"/>
    <d v="2024-09-11T00:00:00"/>
    <s v="C22783"/>
    <s v="Phone"/>
    <n v="4"/>
    <n v="692.91"/>
    <s v="673 Main St"/>
    <x v="2"/>
    <s v="Pending"/>
    <s v="TRK55009149"/>
    <n v="9"/>
    <s v="SAVE10"/>
    <x v="0"/>
    <n v="2771.64"/>
  </r>
  <r>
    <s v="ORD200224"/>
    <d v="2023-09-23T00:00:00"/>
    <s v="C18567"/>
    <s v="Printer"/>
    <n v="4"/>
    <n v="91.46"/>
    <s v="507 Main St"/>
    <x v="4"/>
    <s v="Cancelled"/>
    <s v="TRK17554673"/>
    <n v="9"/>
    <s v="SAVE10"/>
    <x v="1"/>
    <n v="365.84"/>
  </r>
  <r>
    <s v="ORD200225"/>
    <d v="2024-03-13T00:00:00"/>
    <s v="C99879"/>
    <s v="Phone"/>
    <n v="3"/>
    <n v="273.95999999999998"/>
    <s v="692 Main St"/>
    <x v="0"/>
    <s v="Returned"/>
    <s v="TRK50246700"/>
    <n v="8"/>
    <s v="SAVE10"/>
    <x v="4"/>
    <n v="821.87999999999988"/>
  </r>
  <r>
    <s v="ORD200226"/>
    <d v="2025-06-27T00:00:00"/>
    <s v="C31501"/>
    <s v="Desk"/>
    <n v="3"/>
    <n v="588.04999999999995"/>
    <s v="242 Main St"/>
    <x v="3"/>
    <s v="Delivered"/>
    <s v="TRK93063929"/>
    <n v="8"/>
    <m/>
    <x v="0"/>
    <n v="1764.15"/>
  </r>
  <r>
    <s v="ORD200227"/>
    <d v="2023-11-02T00:00:00"/>
    <s v="C93220"/>
    <s v="Monitor"/>
    <n v="2"/>
    <n v="365.17"/>
    <s v="353 Main St"/>
    <x v="1"/>
    <s v="Cancelled"/>
    <s v="TRK89023251"/>
    <n v="4"/>
    <s v="FREESHIP"/>
    <x v="3"/>
    <n v="730.34"/>
  </r>
  <r>
    <s v="ORD200228"/>
    <d v="2023-05-17T00:00:00"/>
    <s v="C57867"/>
    <s v="Chair"/>
    <n v="4"/>
    <n v="385.92"/>
    <s v="579 Main St"/>
    <x v="2"/>
    <s v="Cancelled"/>
    <s v="TRK92055007"/>
    <n v="8"/>
    <m/>
    <x v="0"/>
    <n v="1543.68"/>
  </r>
  <r>
    <s v="ORD200229"/>
    <d v="2025-03-28T00:00:00"/>
    <s v="C62622"/>
    <s v="Tablet"/>
    <n v="1"/>
    <n v="562.61"/>
    <s v="762 Main St"/>
    <x v="2"/>
    <s v="Delivered"/>
    <s v="TRK70997648"/>
    <n v="3"/>
    <s v="WINTER15"/>
    <x v="3"/>
    <n v="562.61"/>
  </r>
  <r>
    <s v="ORD200230"/>
    <d v="2023-12-16T00:00:00"/>
    <s v="C94595"/>
    <s v="Desk"/>
    <n v="4"/>
    <n v="61.91"/>
    <s v="948 Main St"/>
    <x v="3"/>
    <s v="Delivered"/>
    <s v="TRK24497305"/>
    <n v="6"/>
    <s v="WINTER15"/>
    <x v="2"/>
    <n v="247.64"/>
  </r>
  <r>
    <s v="ORD200231"/>
    <d v="2023-11-05T00:00:00"/>
    <s v="C30955"/>
    <s v="Phone"/>
    <n v="4"/>
    <n v="41.9"/>
    <s v="327 Main St"/>
    <x v="3"/>
    <s v="Pending"/>
    <s v="TRK46898848"/>
    <n v="9"/>
    <s v="FREESHIP"/>
    <x v="0"/>
    <n v="167.6"/>
  </r>
  <r>
    <s v="ORD200232"/>
    <d v="2023-05-19T00:00:00"/>
    <s v="C20731"/>
    <s v="Printer"/>
    <n v="4"/>
    <n v="444.44"/>
    <s v="610 Main St"/>
    <x v="0"/>
    <s v="Cancelled"/>
    <s v="TRK75568437"/>
    <n v="8"/>
    <s v="WINTER15"/>
    <x v="4"/>
    <n v="1777.76"/>
  </r>
  <r>
    <s v="ORD200233"/>
    <d v="2024-08-24T00:00:00"/>
    <s v="C30168"/>
    <s v="Phone"/>
    <n v="3"/>
    <n v="311.33"/>
    <s v="146 Main St"/>
    <x v="4"/>
    <s v="Cancelled"/>
    <s v="TRK73699939"/>
    <n v="3"/>
    <s v="WINTER15"/>
    <x v="0"/>
    <n v="933.99"/>
  </r>
  <r>
    <s v="ORD200234"/>
    <d v="2024-11-26T00:00:00"/>
    <s v="C79842"/>
    <s v="Printer"/>
    <n v="4"/>
    <n v="236.41"/>
    <s v="337 Main St"/>
    <x v="0"/>
    <s v="Pending"/>
    <s v="TRK26957950"/>
    <n v="7"/>
    <s v="SAVE10"/>
    <x v="4"/>
    <n v="945.64"/>
  </r>
  <r>
    <s v="ORD200235"/>
    <d v="2023-02-20T00:00:00"/>
    <s v="C32854"/>
    <s v="Desk"/>
    <n v="1"/>
    <n v="65.45"/>
    <s v="815 Main St"/>
    <x v="4"/>
    <s v="Pending"/>
    <s v="TRK30009218"/>
    <n v="2"/>
    <s v="WINTER15"/>
    <x v="4"/>
    <n v="65.45"/>
  </r>
  <r>
    <s v="ORD200236"/>
    <d v="2023-01-01T00:00:00"/>
    <s v="C14847"/>
    <s v="Monitor"/>
    <n v="1"/>
    <n v="318.81"/>
    <s v="562 Main St"/>
    <x v="0"/>
    <s v="Pending"/>
    <s v="TRK39663243"/>
    <n v="3"/>
    <s v="WINTER15"/>
    <x v="2"/>
    <n v="318.81"/>
  </r>
  <r>
    <s v="ORD200237"/>
    <d v="2024-03-14T00:00:00"/>
    <s v="C88645"/>
    <s v="Monitor"/>
    <n v="3"/>
    <n v="583.72"/>
    <s v="783 Main St"/>
    <x v="2"/>
    <s v="Shipped"/>
    <s v="TRK74097570"/>
    <n v="5"/>
    <s v="FREESHIP"/>
    <x v="3"/>
    <n v="1751.16"/>
  </r>
  <r>
    <s v="ORD200238"/>
    <d v="2024-12-13T00:00:00"/>
    <s v="C66149"/>
    <s v="Desk"/>
    <n v="4"/>
    <n v="384.32"/>
    <s v="770 Main St"/>
    <x v="2"/>
    <s v="Pending"/>
    <s v="TRK76307307"/>
    <n v="6"/>
    <s v="WINTER15"/>
    <x v="4"/>
    <n v="1537.28"/>
  </r>
  <r>
    <s v="ORD200239"/>
    <d v="2024-12-11T00:00:00"/>
    <s v="C20256"/>
    <s v="Tablet"/>
    <n v="3"/>
    <n v="538.74"/>
    <s v="456 Main St"/>
    <x v="1"/>
    <s v="Shipped"/>
    <s v="TRK71127943"/>
    <n v="6"/>
    <s v="FREESHIP"/>
    <x v="2"/>
    <n v="1616.22"/>
  </r>
  <r>
    <s v="ORD200240"/>
    <d v="2023-07-12T00:00:00"/>
    <s v="C14983"/>
    <s v="Tablet"/>
    <n v="1"/>
    <n v="17.239999999999998"/>
    <s v="255 Main St"/>
    <x v="1"/>
    <s v="Pending"/>
    <s v="TRK93444157"/>
    <n v="2"/>
    <s v="FREESHIP"/>
    <x v="0"/>
    <n v="17.239999999999998"/>
  </r>
  <r>
    <s v="ORD200241"/>
    <d v="2023-05-16T00:00:00"/>
    <s v="C20817"/>
    <s v="Chair"/>
    <n v="5"/>
    <n v="615.66999999999996"/>
    <s v="407 Main St"/>
    <x v="1"/>
    <s v="Pending"/>
    <s v="TRK44164590"/>
    <n v="6"/>
    <s v="SAVE10"/>
    <x v="2"/>
    <n v="3078.35"/>
  </r>
  <r>
    <s v="ORD200242"/>
    <d v="2023-05-09T00:00:00"/>
    <s v="C94921"/>
    <s v="Printer"/>
    <n v="2"/>
    <n v="219.1"/>
    <s v="134 Main St"/>
    <x v="1"/>
    <s v="Pending"/>
    <s v="TRK97794327"/>
    <n v="4"/>
    <s v="SAVE10"/>
    <x v="1"/>
    <n v="438.2"/>
  </r>
  <r>
    <s v="ORD200243"/>
    <d v="2025-05-09T00:00:00"/>
    <s v="C54725"/>
    <s v="Chair"/>
    <n v="2"/>
    <n v="144.66"/>
    <s v="506 Main St"/>
    <x v="1"/>
    <s v="Cancelled"/>
    <s v="TRK30601940"/>
    <n v="7"/>
    <s v="FREESHIP"/>
    <x v="4"/>
    <n v="289.32"/>
  </r>
  <r>
    <s v="ORD200244"/>
    <d v="2023-02-16T00:00:00"/>
    <s v="C98096"/>
    <s v="Desk"/>
    <n v="2"/>
    <n v="317.77"/>
    <s v="838 Main St"/>
    <x v="0"/>
    <s v="Cancelled"/>
    <s v="TRK51518631"/>
    <n v="4"/>
    <s v="WINTER15"/>
    <x v="3"/>
    <n v="635.54"/>
  </r>
  <r>
    <s v="ORD200245"/>
    <d v="2025-04-20T00:00:00"/>
    <s v="C12667"/>
    <s v="Laptop"/>
    <n v="1"/>
    <n v="223.3"/>
    <s v="306 Main St"/>
    <x v="1"/>
    <s v="Returned"/>
    <s v="TRK25390491"/>
    <n v="1"/>
    <m/>
    <x v="3"/>
    <n v="223.3"/>
  </r>
  <r>
    <s v="ORD200246"/>
    <d v="2024-08-30T00:00:00"/>
    <s v="C55354"/>
    <s v="Desk"/>
    <n v="2"/>
    <n v="342.11"/>
    <s v="164 Main St"/>
    <x v="3"/>
    <s v="Shipped"/>
    <s v="TRK15439493"/>
    <n v="2"/>
    <s v="WINTER15"/>
    <x v="0"/>
    <n v="684.22"/>
  </r>
  <r>
    <s v="ORD200247"/>
    <d v="2023-07-20T00:00:00"/>
    <s v="C14600"/>
    <s v="Printer"/>
    <n v="2"/>
    <n v="220.9"/>
    <s v="785 Main St"/>
    <x v="3"/>
    <s v="Shipped"/>
    <s v="TRK84984764"/>
    <n v="4"/>
    <m/>
    <x v="2"/>
    <n v="441.8"/>
  </r>
  <r>
    <s v="ORD200248"/>
    <d v="2023-07-02T00:00:00"/>
    <s v="C97187"/>
    <s v="Laptop"/>
    <n v="1"/>
    <n v="670.54"/>
    <s v="471 Main St"/>
    <x v="4"/>
    <s v="Shipped"/>
    <s v="TRK62283713"/>
    <n v="6"/>
    <s v="FREESHIP"/>
    <x v="1"/>
    <n v="670.54"/>
  </r>
  <r>
    <s v="ORD200249"/>
    <d v="2024-02-07T00:00:00"/>
    <s v="C39106"/>
    <s v="Printer"/>
    <n v="1"/>
    <n v="546.19000000000005"/>
    <s v="245 Main St"/>
    <x v="4"/>
    <s v="Pending"/>
    <s v="TRK35464433"/>
    <n v="5"/>
    <s v="FREESHIP"/>
    <x v="1"/>
    <n v="546.19000000000005"/>
  </r>
  <r>
    <s v="ORD200250"/>
    <d v="2023-04-05T00:00:00"/>
    <s v="C93379"/>
    <s v="Desk"/>
    <n v="3"/>
    <n v="42.95"/>
    <s v="318 Main St"/>
    <x v="3"/>
    <s v="Returned"/>
    <s v="TRK67954150"/>
    <n v="8"/>
    <s v="SAVE10"/>
    <x v="2"/>
    <n v="128.85"/>
  </r>
  <r>
    <s v="ORD200251"/>
    <d v="2025-05-15T00:00:00"/>
    <s v="C93175"/>
    <s v="Monitor"/>
    <n v="4"/>
    <n v="14.69"/>
    <s v="814 Main St"/>
    <x v="4"/>
    <s v="Cancelled"/>
    <s v="TRK32995144"/>
    <n v="9"/>
    <m/>
    <x v="2"/>
    <n v="58.76"/>
  </r>
  <r>
    <s v="ORD200252"/>
    <d v="2024-09-20T00:00:00"/>
    <s v="C19648"/>
    <s v="Phone"/>
    <n v="4"/>
    <n v="668.36"/>
    <s v="821 Main St"/>
    <x v="3"/>
    <s v="Cancelled"/>
    <s v="TRK51297879"/>
    <n v="5"/>
    <s v="FREESHIP"/>
    <x v="3"/>
    <n v="2673.44"/>
  </r>
  <r>
    <s v="ORD200253"/>
    <d v="2024-03-23T00:00:00"/>
    <s v="C14891"/>
    <s v="Chair"/>
    <n v="4"/>
    <n v="413.74"/>
    <s v="743 Main St"/>
    <x v="3"/>
    <s v="Returned"/>
    <s v="TRK79471534"/>
    <n v="7"/>
    <s v="FREESHIP"/>
    <x v="0"/>
    <n v="1654.96"/>
  </r>
  <r>
    <s v="ORD200254"/>
    <d v="2023-12-26T00:00:00"/>
    <s v="C10866"/>
    <s v="Monitor"/>
    <n v="3"/>
    <n v="263.19"/>
    <s v="770 Main St"/>
    <x v="1"/>
    <s v="Delivered"/>
    <s v="TRK34809583"/>
    <n v="5"/>
    <m/>
    <x v="0"/>
    <n v="789.56999999999994"/>
  </r>
  <r>
    <s v="ORD200255"/>
    <d v="2024-05-13T00:00:00"/>
    <s v="C47283"/>
    <s v="Monitor"/>
    <n v="1"/>
    <n v="263.95999999999998"/>
    <s v="806 Main St"/>
    <x v="3"/>
    <s v="Returned"/>
    <s v="TRK56235117"/>
    <n v="2"/>
    <s v="SAVE10"/>
    <x v="4"/>
    <n v="263.95999999999998"/>
  </r>
  <r>
    <s v="ORD200256"/>
    <d v="2025-06-30T00:00:00"/>
    <s v="C94323"/>
    <s v="Chair"/>
    <n v="5"/>
    <n v="75.81"/>
    <s v="463 Main St"/>
    <x v="3"/>
    <s v="Returned"/>
    <s v="TRK22663277"/>
    <n v="10"/>
    <s v="WINTER15"/>
    <x v="0"/>
    <n v="379.05"/>
  </r>
  <r>
    <s v="ORD200257"/>
    <d v="2024-04-23T00:00:00"/>
    <s v="C89732"/>
    <s v="Phone"/>
    <n v="1"/>
    <n v="406.22"/>
    <s v="712 Main St"/>
    <x v="2"/>
    <s v="Cancelled"/>
    <s v="TRK41059233"/>
    <n v="5"/>
    <s v="SAVE10"/>
    <x v="1"/>
    <n v="406.22"/>
  </r>
  <r>
    <s v="ORD200258"/>
    <d v="2024-02-26T00:00:00"/>
    <s v="C87764"/>
    <s v="Tablet"/>
    <n v="2"/>
    <n v="103.41"/>
    <s v="294 Main St"/>
    <x v="1"/>
    <s v="Shipped"/>
    <s v="TRK94082469"/>
    <n v="2"/>
    <s v="FREESHIP"/>
    <x v="1"/>
    <n v="206.82"/>
  </r>
  <r>
    <s v="ORD200259"/>
    <d v="2023-06-11T00:00:00"/>
    <s v="C20977"/>
    <s v="Chair"/>
    <n v="4"/>
    <n v="435.12"/>
    <s v="636 Main St"/>
    <x v="2"/>
    <s v="Delivered"/>
    <s v="TRK54991561"/>
    <n v="9"/>
    <s v="SAVE10"/>
    <x v="0"/>
    <n v="1740.48"/>
  </r>
  <r>
    <s v="ORD200260"/>
    <d v="2023-05-17T00:00:00"/>
    <s v="C12245"/>
    <s v="Monitor"/>
    <n v="2"/>
    <n v="407.79"/>
    <s v="153 Main St"/>
    <x v="0"/>
    <s v="Shipped"/>
    <s v="TRK22000463"/>
    <n v="3"/>
    <m/>
    <x v="4"/>
    <n v="815.58"/>
  </r>
  <r>
    <s v="ORD200261"/>
    <d v="2025-05-28T00:00:00"/>
    <s v="C68976"/>
    <s v="Phone"/>
    <n v="5"/>
    <n v="173.65"/>
    <s v="460 Main St"/>
    <x v="3"/>
    <s v="Delivered"/>
    <s v="TRK25491356"/>
    <n v="9"/>
    <s v="SAVE10"/>
    <x v="2"/>
    <n v="868.25"/>
  </r>
  <r>
    <s v="ORD200262"/>
    <d v="2023-01-10T00:00:00"/>
    <s v="C69476"/>
    <s v="Phone"/>
    <n v="4"/>
    <n v="249.07"/>
    <s v="642 Main St"/>
    <x v="2"/>
    <s v="Returned"/>
    <s v="TRK65869386"/>
    <n v="5"/>
    <s v="WINTER15"/>
    <x v="1"/>
    <n v="996.28"/>
  </r>
  <r>
    <s v="ORD200263"/>
    <d v="2023-03-25T00:00:00"/>
    <s v="C71040"/>
    <s v="Phone"/>
    <n v="4"/>
    <n v="434.85"/>
    <s v="250 Main St"/>
    <x v="2"/>
    <s v="Pending"/>
    <s v="TRK41397604"/>
    <n v="4"/>
    <s v="WINTER15"/>
    <x v="4"/>
    <n v="1739.4"/>
  </r>
  <r>
    <s v="ORD200264"/>
    <d v="2024-08-03T00:00:00"/>
    <s v="C71035"/>
    <s v="Tablet"/>
    <n v="1"/>
    <n v="436.77"/>
    <s v="977 Main St"/>
    <x v="4"/>
    <s v="Returned"/>
    <s v="TRK19599578"/>
    <n v="5"/>
    <s v="FREESHIP"/>
    <x v="4"/>
    <n v="436.77"/>
  </r>
  <r>
    <s v="ORD200265"/>
    <d v="2023-12-22T00:00:00"/>
    <s v="C20752"/>
    <s v="Printer"/>
    <n v="1"/>
    <n v="572.13"/>
    <s v="150 Main St"/>
    <x v="0"/>
    <s v="Cancelled"/>
    <s v="TRK22298450"/>
    <n v="4"/>
    <s v="SAVE10"/>
    <x v="4"/>
    <n v="572.13"/>
  </r>
  <r>
    <s v="ORD200266"/>
    <d v="2024-06-08T00:00:00"/>
    <s v="C38840"/>
    <s v="Chair"/>
    <n v="4"/>
    <n v="583.07000000000005"/>
    <s v="589 Main St"/>
    <x v="2"/>
    <s v="Cancelled"/>
    <s v="TRK48484633"/>
    <n v="6"/>
    <s v="FREESHIP"/>
    <x v="1"/>
    <n v="2332.2800000000002"/>
  </r>
  <r>
    <s v="ORD200267"/>
    <d v="2025-04-17T00:00:00"/>
    <s v="C84480"/>
    <s v="Chair"/>
    <n v="5"/>
    <n v="468.51"/>
    <s v="803 Main St"/>
    <x v="0"/>
    <s v="Delivered"/>
    <s v="TRK62361867"/>
    <n v="9"/>
    <m/>
    <x v="3"/>
    <n v="2342.5500000000002"/>
  </r>
  <r>
    <s v="ORD200268"/>
    <d v="2023-08-11T00:00:00"/>
    <s v="C37032"/>
    <s v="Phone"/>
    <n v="2"/>
    <n v="423.88"/>
    <s v="655 Main St"/>
    <x v="0"/>
    <s v="Delivered"/>
    <s v="TRK48639226"/>
    <n v="7"/>
    <s v="SAVE10"/>
    <x v="1"/>
    <n v="847.76"/>
  </r>
  <r>
    <s v="ORD200269"/>
    <d v="2023-11-25T00:00:00"/>
    <s v="C48942"/>
    <s v="Tablet"/>
    <n v="4"/>
    <n v="663.67"/>
    <s v="129 Main St"/>
    <x v="2"/>
    <s v="Pending"/>
    <s v="TRK29355120"/>
    <n v="7"/>
    <s v="FREESHIP"/>
    <x v="4"/>
    <n v="2654.68"/>
  </r>
  <r>
    <s v="ORD200270"/>
    <d v="2023-06-04T00:00:00"/>
    <s v="C13540"/>
    <s v="Printer"/>
    <n v="4"/>
    <n v="309.91000000000003"/>
    <s v="127 Main St"/>
    <x v="0"/>
    <s v="Shipped"/>
    <s v="TRK81087373"/>
    <n v="5"/>
    <s v="WINTER15"/>
    <x v="4"/>
    <n v="1239.6400000000001"/>
  </r>
  <r>
    <s v="ORD200271"/>
    <d v="2023-03-28T00:00:00"/>
    <s v="C59572"/>
    <s v="Monitor"/>
    <n v="1"/>
    <n v="542.07000000000005"/>
    <s v="791 Main St"/>
    <x v="4"/>
    <s v="Shipped"/>
    <s v="TRK16792991"/>
    <n v="6"/>
    <s v="WINTER15"/>
    <x v="1"/>
    <n v="542.07000000000005"/>
  </r>
  <r>
    <s v="ORD200272"/>
    <d v="2023-09-19T00:00:00"/>
    <s v="C29758"/>
    <s v="Chair"/>
    <n v="2"/>
    <n v="399.32"/>
    <s v="119 Main St"/>
    <x v="1"/>
    <s v="Pending"/>
    <s v="TRK12990043"/>
    <n v="6"/>
    <s v="WINTER15"/>
    <x v="0"/>
    <n v="798.64"/>
  </r>
  <r>
    <s v="ORD200273"/>
    <d v="2024-10-27T00:00:00"/>
    <s v="C11849"/>
    <s v="Tablet"/>
    <n v="2"/>
    <n v="238.25"/>
    <s v="974 Main St"/>
    <x v="1"/>
    <s v="Cancelled"/>
    <s v="TRK91195261"/>
    <n v="7"/>
    <s v="FREESHIP"/>
    <x v="2"/>
    <n v="476.5"/>
  </r>
  <r>
    <s v="ORD200274"/>
    <d v="2023-02-04T00:00:00"/>
    <s v="C50967"/>
    <s v="Phone"/>
    <n v="2"/>
    <n v="182.4"/>
    <s v="884 Main St"/>
    <x v="3"/>
    <s v="Cancelled"/>
    <s v="TRK65300814"/>
    <n v="5"/>
    <s v="SAVE10"/>
    <x v="1"/>
    <n v="364.8"/>
  </r>
  <r>
    <s v="ORD200275"/>
    <d v="2023-11-04T00:00:00"/>
    <s v="C80735"/>
    <s v="Chair"/>
    <n v="2"/>
    <n v="65.069999999999993"/>
    <s v="360 Main St"/>
    <x v="2"/>
    <s v="Cancelled"/>
    <s v="TRK99880231"/>
    <n v="4"/>
    <s v="SAVE10"/>
    <x v="4"/>
    <n v="130.13999999999999"/>
  </r>
  <r>
    <s v="ORD200276"/>
    <d v="2025-03-29T00:00:00"/>
    <s v="C99050"/>
    <s v="Printer"/>
    <n v="2"/>
    <n v="600.57000000000005"/>
    <s v="654 Main St"/>
    <x v="0"/>
    <s v="Returned"/>
    <s v="TRK56927089"/>
    <n v="3"/>
    <s v="WINTER15"/>
    <x v="0"/>
    <n v="1201.1400000000001"/>
  </r>
  <r>
    <s v="ORD200277"/>
    <d v="2024-09-09T00:00:00"/>
    <s v="C11210"/>
    <s v="Chair"/>
    <n v="5"/>
    <n v="90.92"/>
    <s v="910 Main St"/>
    <x v="2"/>
    <s v="Delivered"/>
    <s v="TRK44929965"/>
    <n v="9"/>
    <s v="SAVE10"/>
    <x v="3"/>
    <n v="454.6"/>
  </r>
  <r>
    <s v="ORD200278"/>
    <d v="2024-11-18T00:00:00"/>
    <s v="C46015"/>
    <s v="Laptop"/>
    <n v="5"/>
    <n v="362.46"/>
    <s v="299 Main St"/>
    <x v="4"/>
    <s v="Delivered"/>
    <s v="TRK46598430"/>
    <n v="6"/>
    <s v="FREESHIP"/>
    <x v="0"/>
    <n v="1812.3"/>
  </r>
  <r>
    <s v="ORD200279"/>
    <d v="2023-10-20T00:00:00"/>
    <s v="C69167"/>
    <s v="Chair"/>
    <n v="3"/>
    <n v="55.01"/>
    <s v="263 Main St"/>
    <x v="1"/>
    <s v="Pending"/>
    <s v="TRK12425655"/>
    <n v="7"/>
    <s v="WINTER15"/>
    <x v="2"/>
    <n v="165.03"/>
  </r>
  <r>
    <s v="ORD200280"/>
    <d v="2023-03-27T00:00:00"/>
    <s v="C55388"/>
    <s v="Tablet"/>
    <n v="3"/>
    <n v="404.62"/>
    <s v="740 Main St"/>
    <x v="3"/>
    <s v="Delivered"/>
    <s v="TRK75741001"/>
    <n v="6"/>
    <s v="FREESHIP"/>
    <x v="0"/>
    <n v="1213.8599999999999"/>
  </r>
  <r>
    <s v="ORD200281"/>
    <d v="2023-07-27T00:00:00"/>
    <s v="C87181"/>
    <s v="Desk"/>
    <n v="4"/>
    <n v="654.79"/>
    <s v="195 Main St"/>
    <x v="4"/>
    <s v="Pending"/>
    <s v="TRK60093390"/>
    <n v="9"/>
    <m/>
    <x v="1"/>
    <n v="2619.16"/>
  </r>
  <r>
    <s v="ORD200282"/>
    <d v="2025-04-22T00:00:00"/>
    <s v="C30411"/>
    <s v="Printer"/>
    <n v="4"/>
    <n v="637.79"/>
    <s v="375 Main St"/>
    <x v="3"/>
    <s v="Cancelled"/>
    <s v="TRK71810536"/>
    <n v="9"/>
    <s v="FREESHIP"/>
    <x v="4"/>
    <n v="2551.16"/>
  </r>
  <r>
    <s v="ORD200283"/>
    <d v="2025-02-28T00:00:00"/>
    <s v="C39638"/>
    <s v="Laptop"/>
    <n v="4"/>
    <n v="540.33000000000004"/>
    <s v="990 Main St"/>
    <x v="4"/>
    <s v="Shipped"/>
    <s v="TRK69745608"/>
    <n v="6"/>
    <m/>
    <x v="4"/>
    <n v="2161.3200000000002"/>
  </r>
  <r>
    <s v="ORD200284"/>
    <d v="2023-02-16T00:00:00"/>
    <s v="C27203"/>
    <s v="Laptop"/>
    <n v="5"/>
    <n v="208.17"/>
    <s v="516 Main St"/>
    <x v="2"/>
    <s v="Returned"/>
    <s v="TRK22023906"/>
    <n v="6"/>
    <s v="SAVE10"/>
    <x v="3"/>
    <n v="1040.8499999999999"/>
  </r>
  <r>
    <s v="ORD200285"/>
    <d v="2025-06-10T00:00:00"/>
    <s v="C67583"/>
    <s v="Phone"/>
    <n v="1"/>
    <n v="338.31"/>
    <s v="974 Main St"/>
    <x v="1"/>
    <s v="Delivered"/>
    <s v="TRK93281700"/>
    <n v="3"/>
    <m/>
    <x v="4"/>
    <n v="338.31"/>
  </r>
  <r>
    <s v="ORD200286"/>
    <d v="2025-04-07T00:00:00"/>
    <s v="C70554"/>
    <s v="Monitor"/>
    <n v="3"/>
    <n v="139.44999999999999"/>
    <s v="187 Main St"/>
    <x v="3"/>
    <s v="Returned"/>
    <s v="TRK61086952"/>
    <n v="8"/>
    <s v="WINTER15"/>
    <x v="4"/>
    <n v="418.35"/>
  </r>
  <r>
    <s v="ORD200287"/>
    <d v="2023-11-24T00:00:00"/>
    <s v="C70437"/>
    <s v="Chair"/>
    <n v="4"/>
    <n v="655.17999999999995"/>
    <s v="630 Main St"/>
    <x v="1"/>
    <s v="Shipped"/>
    <s v="TRK26628830"/>
    <n v="5"/>
    <m/>
    <x v="3"/>
    <n v="2620.7199999999998"/>
  </r>
  <r>
    <s v="ORD200288"/>
    <d v="2023-03-12T00:00:00"/>
    <s v="C97643"/>
    <s v="Laptop"/>
    <n v="4"/>
    <n v="512.75"/>
    <s v="537 Main St"/>
    <x v="0"/>
    <s v="Returned"/>
    <s v="TRK60831391"/>
    <n v="8"/>
    <s v="WINTER15"/>
    <x v="4"/>
    <n v="2051"/>
  </r>
  <r>
    <s v="ORD200289"/>
    <d v="2023-07-26T00:00:00"/>
    <s v="C17136"/>
    <s v="Chair"/>
    <n v="4"/>
    <n v="160.49"/>
    <s v="333 Main St"/>
    <x v="2"/>
    <s v="Shipped"/>
    <s v="TRK55362541"/>
    <n v="8"/>
    <s v="WINTER15"/>
    <x v="1"/>
    <n v="641.96"/>
  </r>
  <r>
    <s v="ORD200290"/>
    <d v="2023-05-05T00:00:00"/>
    <s v="C24901"/>
    <s v="Chair"/>
    <n v="3"/>
    <n v="99.9"/>
    <s v="258 Main St"/>
    <x v="4"/>
    <s v="Delivered"/>
    <s v="TRK14029489"/>
    <n v="8"/>
    <s v="FREESHIP"/>
    <x v="3"/>
    <n v="299.7"/>
  </r>
  <r>
    <s v="ORD200291"/>
    <d v="2024-05-12T00:00:00"/>
    <s v="C61521"/>
    <s v="Phone"/>
    <n v="2"/>
    <n v="345.01"/>
    <s v="670 Main St"/>
    <x v="2"/>
    <s v="Delivered"/>
    <s v="TRK93676567"/>
    <n v="6"/>
    <s v="FREESHIP"/>
    <x v="4"/>
    <n v="690.02"/>
  </r>
  <r>
    <s v="ORD200292"/>
    <d v="2025-01-15T00:00:00"/>
    <s v="C39639"/>
    <s v="Monitor"/>
    <n v="1"/>
    <n v="65.95"/>
    <s v="185 Main St"/>
    <x v="2"/>
    <s v="Delivered"/>
    <s v="TRK31042152"/>
    <n v="5"/>
    <m/>
    <x v="3"/>
    <n v="65.95"/>
  </r>
  <r>
    <s v="ORD200293"/>
    <d v="2023-02-16T00:00:00"/>
    <s v="C33220"/>
    <s v="Tablet"/>
    <n v="4"/>
    <n v="463.04"/>
    <s v="564 Main St"/>
    <x v="3"/>
    <s v="Returned"/>
    <s v="TRK40450219"/>
    <n v="9"/>
    <m/>
    <x v="0"/>
    <n v="1852.16"/>
  </r>
  <r>
    <s v="ORD200294"/>
    <d v="2025-04-01T00:00:00"/>
    <s v="C65414"/>
    <s v="Phone"/>
    <n v="2"/>
    <n v="297.70999999999998"/>
    <s v="208 Main St"/>
    <x v="1"/>
    <s v="Shipped"/>
    <s v="TRK67562517"/>
    <n v="7"/>
    <s v="SAVE10"/>
    <x v="1"/>
    <n v="595.41999999999996"/>
  </r>
  <r>
    <s v="ORD200295"/>
    <d v="2023-01-25T00:00:00"/>
    <s v="C49009"/>
    <s v="Printer"/>
    <n v="5"/>
    <n v="107.48"/>
    <s v="278 Main St"/>
    <x v="0"/>
    <s v="Cancelled"/>
    <s v="TRK46285799"/>
    <n v="9"/>
    <s v="FREESHIP"/>
    <x v="2"/>
    <n v="537.4"/>
  </r>
  <r>
    <s v="ORD200296"/>
    <d v="2024-06-19T00:00:00"/>
    <s v="C48453"/>
    <s v="Desk"/>
    <n v="5"/>
    <n v="638.79999999999995"/>
    <s v="434 Main St"/>
    <x v="0"/>
    <s v="Cancelled"/>
    <s v="TRK52110494"/>
    <n v="10"/>
    <s v="WINTER15"/>
    <x v="1"/>
    <n v="3194"/>
  </r>
  <r>
    <s v="ORD200297"/>
    <d v="2023-02-22T00:00:00"/>
    <s v="C68078"/>
    <s v="Desk"/>
    <n v="2"/>
    <n v="493.88"/>
    <s v="252 Main St"/>
    <x v="2"/>
    <s v="Returned"/>
    <s v="TRK64862812"/>
    <n v="7"/>
    <s v="SAVE10"/>
    <x v="0"/>
    <n v="987.76"/>
  </r>
  <r>
    <s v="ORD200298"/>
    <d v="2023-12-19T00:00:00"/>
    <s v="C19402"/>
    <s v="Printer"/>
    <n v="4"/>
    <n v="301.17"/>
    <s v="267 Main St"/>
    <x v="1"/>
    <s v="Cancelled"/>
    <s v="TRK97825212"/>
    <n v="6"/>
    <m/>
    <x v="2"/>
    <n v="1204.68"/>
  </r>
  <r>
    <s v="ORD200299"/>
    <d v="2024-01-20T00:00:00"/>
    <s v="C30711"/>
    <s v="Monitor"/>
    <n v="1"/>
    <n v="278.66000000000003"/>
    <s v="856 Main St"/>
    <x v="3"/>
    <s v="Cancelled"/>
    <s v="TRK42696593"/>
    <n v="2"/>
    <s v="FREESHIP"/>
    <x v="0"/>
    <n v="278.66000000000003"/>
  </r>
  <r>
    <s v="ORD200300"/>
    <d v="2024-09-02T00:00:00"/>
    <s v="C39000"/>
    <s v="Phone"/>
    <n v="1"/>
    <n v="287.45999999999998"/>
    <s v="894 Main St"/>
    <x v="0"/>
    <s v="Returned"/>
    <s v="TRK33753945"/>
    <n v="3"/>
    <s v="FREESHIP"/>
    <x v="3"/>
    <n v="287.45999999999998"/>
  </r>
  <r>
    <s v="ORD200301"/>
    <d v="2023-05-11T00:00:00"/>
    <s v="C31105"/>
    <s v="Chair"/>
    <n v="1"/>
    <n v="583.99"/>
    <s v="726 Main St"/>
    <x v="4"/>
    <s v="Cancelled"/>
    <s v="TRK40149095"/>
    <n v="2"/>
    <s v="SAVE10"/>
    <x v="2"/>
    <n v="583.99"/>
  </r>
  <r>
    <s v="ORD200302"/>
    <d v="2023-05-16T00:00:00"/>
    <s v="C29432"/>
    <s v="Chair"/>
    <n v="3"/>
    <n v="468.74"/>
    <s v="121 Main St"/>
    <x v="4"/>
    <s v="Pending"/>
    <s v="TRK44142517"/>
    <n v="4"/>
    <s v="FREESHIP"/>
    <x v="0"/>
    <n v="1406.22"/>
  </r>
  <r>
    <s v="ORD200303"/>
    <d v="2024-12-07T00:00:00"/>
    <s v="C48531"/>
    <s v="Tablet"/>
    <n v="1"/>
    <n v="30.54"/>
    <s v="368 Main St"/>
    <x v="0"/>
    <s v="Returned"/>
    <s v="TRK95462192"/>
    <n v="1"/>
    <m/>
    <x v="4"/>
    <n v="30.54"/>
  </r>
  <r>
    <s v="ORD200304"/>
    <d v="2024-10-18T00:00:00"/>
    <s v="C86762"/>
    <s v="Monitor"/>
    <n v="5"/>
    <n v="408.73"/>
    <s v="326 Main St"/>
    <x v="3"/>
    <s v="Delivered"/>
    <s v="TRK75686292"/>
    <n v="10"/>
    <s v="FREESHIP"/>
    <x v="0"/>
    <n v="2043.65"/>
  </r>
  <r>
    <s v="ORD200305"/>
    <d v="2023-11-25T00:00:00"/>
    <s v="C63822"/>
    <s v="Laptop"/>
    <n v="4"/>
    <n v="126.89"/>
    <s v="235 Main St"/>
    <x v="4"/>
    <s v="Pending"/>
    <s v="TRK59353216"/>
    <n v="9"/>
    <s v="FREESHIP"/>
    <x v="0"/>
    <n v="507.56"/>
  </r>
  <r>
    <s v="ORD200306"/>
    <d v="2024-06-07T00:00:00"/>
    <s v="C70495"/>
    <s v="Printer"/>
    <n v="2"/>
    <n v="57.07"/>
    <s v="238 Main St"/>
    <x v="0"/>
    <s v="Returned"/>
    <s v="TRK65511225"/>
    <n v="3"/>
    <s v="SAVE10"/>
    <x v="0"/>
    <n v="114.14"/>
  </r>
  <r>
    <s v="ORD200307"/>
    <d v="2023-07-01T00:00:00"/>
    <s v="C92407"/>
    <s v="Laptop"/>
    <n v="3"/>
    <n v="557.41"/>
    <s v="135 Main St"/>
    <x v="1"/>
    <s v="Delivered"/>
    <s v="TRK11755610"/>
    <n v="4"/>
    <m/>
    <x v="2"/>
    <n v="1672.23"/>
  </r>
  <r>
    <s v="ORD200308"/>
    <d v="2023-12-11T00:00:00"/>
    <s v="C75888"/>
    <s v="Printer"/>
    <n v="3"/>
    <n v="448.9"/>
    <s v="790 Main St"/>
    <x v="0"/>
    <s v="Returned"/>
    <s v="TRK98467398"/>
    <n v="7"/>
    <s v="SAVE10"/>
    <x v="0"/>
    <n v="1346.7"/>
  </r>
  <r>
    <s v="ORD200309"/>
    <d v="2023-10-03T00:00:00"/>
    <s v="C63153"/>
    <s v="Chair"/>
    <n v="4"/>
    <n v="549.76"/>
    <s v="625 Main St"/>
    <x v="0"/>
    <s v="Delivered"/>
    <s v="TRK38033305"/>
    <n v="4"/>
    <s v="FREESHIP"/>
    <x v="3"/>
    <n v="2199.04"/>
  </r>
  <r>
    <s v="ORD200310"/>
    <d v="2024-02-24T00:00:00"/>
    <s v="C85863"/>
    <s v="Printer"/>
    <n v="3"/>
    <n v="132.47999999999999"/>
    <s v="968 Main St"/>
    <x v="1"/>
    <s v="Shipped"/>
    <s v="TRK16094218"/>
    <n v="4"/>
    <m/>
    <x v="1"/>
    <n v="397.43999999999988"/>
  </r>
  <r>
    <s v="ORD200311"/>
    <d v="2025-05-17T00:00:00"/>
    <s v="C71698"/>
    <s v="Desk"/>
    <n v="5"/>
    <n v="489.37"/>
    <s v="274 Main St"/>
    <x v="1"/>
    <s v="Returned"/>
    <s v="TRK34786818"/>
    <n v="8"/>
    <m/>
    <x v="0"/>
    <n v="2446.85"/>
  </r>
  <r>
    <s v="ORD200312"/>
    <d v="2025-05-24T00:00:00"/>
    <s v="C35397"/>
    <s v="Printer"/>
    <n v="5"/>
    <n v="66.31"/>
    <s v="579 Main St"/>
    <x v="3"/>
    <s v="Pending"/>
    <s v="TRK64742535"/>
    <n v="7"/>
    <s v="FREESHIP"/>
    <x v="1"/>
    <n v="331.55"/>
  </r>
  <r>
    <s v="ORD200313"/>
    <d v="2023-07-09T00:00:00"/>
    <s v="C67687"/>
    <s v="Chair"/>
    <n v="2"/>
    <n v="434.3"/>
    <s v="978 Main St"/>
    <x v="4"/>
    <s v="Delivered"/>
    <s v="TRK22838735"/>
    <n v="7"/>
    <s v="SAVE10"/>
    <x v="0"/>
    <n v="868.6"/>
  </r>
  <r>
    <s v="ORD200314"/>
    <d v="2023-10-04T00:00:00"/>
    <s v="C29931"/>
    <s v="Desk"/>
    <n v="4"/>
    <n v="153.09"/>
    <s v="540 Main St"/>
    <x v="1"/>
    <s v="Delivered"/>
    <s v="TRK48712417"/>
    <n v="4"/>
    <s v="FREESHIP"/>
    <x v="1"/>
    <n v="612.36"/>
  </r>
  <r>
    <s v="ORD200315"/>
    <d v="2025-05-12T00:00:00"/>
    <s v="C59139"/>
    <s v="Tablet"/>
    <n v="5"/>
    <n v="91.67"/>
    <s v="301 Main St"/>
    <x v="1"/>
    <s v="Cancelled"/>
    <s v="TRK45507090"/>
    <n v="9"/>
    <s v="FREESHIP"/>
    <x v="2"/>
    <n v="458.35"/>
  </r>
  <r>
    <s v="ORD200316"/>
    <d v="2023-10-02T00:00:00"/>
    <s v="C66078"/>
    <s v="Desk"/>
    <n v="4"/>
    <n v="275.27999999999997"/>
    <s v="101 Main St"/>
    <x v="3"/>
    <s v="Shipped"/>
    <s v="TRK86474559"/>
    <n v="9"/>
    <s v="WINTER15"/>
    <x v="3"/>
    <n v="1101.1199999999999"/>
  </r>
  <r>
    <s v="ORD200317"/>
    <d v="2023-04-10T00:00:00"/>
    <s v="C88370"/>
    <s v="Monitor"/>
    <n v="2"/>
    <n v="139.94999999999999"/>
    <s v="339 Main St"/>
    <x v="1"/>
    <s v="Returned"/>
    <s v="TRK22575151"/>
    <n v="5"/>
    <m/>
    <x v="0"/>
    <n v="279.89999999999998"/>
  </r>
  <r>
    <s v="ORD200318"/>
    <d v="2024-07-27T00:00:00"/>
    <s v="C93375"/>
    <s v="Chair"/>
    <n v="3"/>
    <n v="148.72"/>
    <s v="317 Main St"/>
    <x v="0"/>
    <s v="Cancelled"/>
    <s v="TRK95706967"/>
    <n v="7"/>
    <s v="SAVE10"/>
    <x v="4"/>
    <n v="446.16"/>
  </r>
  <r>
    <s v="ORD200319"/>
    <d v="2023-12-02T00:00:00"/>
    <s v="C53049"/>
    <s v="Laptop"/>
    <n v="2"/>
    <n v="563.05999999999995"/>
    <s v="413 Main St"/>
    <x v="4"/>
    <s v="Returned"/>
    <s v="TRK48974907"/>
    <n v="6"/>
    <m/>
    <x v="0"/>
    <n v="1126.1199999999999"/>
  </r>
  <r>
    <s v="ORD200320"/>
    <d v="2024-12-19T00:00:00"/>
    <s v="C55590"/>
    <s v="Printer"/>
    <n v="1"/>
    <n v="625.51"/>
    <s v="772 Main St"/>
    <x v="2"/>
    <s v="Shipped"/>
    <s v="TRK48792951"/>
    <n v="1"/>
    <s v="FREESHIP"/>
    <x v="3"/>
    <n v="625.51"/>
  </r>
  <r>
    <s v="ORD200321"/>
    <d v="2023-08-09T00:00:00"/>
    <s v="C47086"/>
    <s v="Phone"/>
    <n v="4"/>
    <n v="152.29"/>
    <s v="135 Main St"/>
    <x v="0"/>
    <s v="Cancelled"/>
    <s v="TRK44194358"/>
    <n v="6"/>
    <s v="WINTER15"/>
    <x v="4"/>
    <n v="609.16"/>
  </r>
  <r>
    <s v="ORD200322"/>
    <d v="2024-06-14T00:00:00"/>
    <s v="C48646"/>
    <s v="Phone"/>
    <n v="5"/>
    <n v="231.82"/>
    <s v="339 Main St"/>
    <x v="0"/>
    <s v="Delivered"/>
    <s v="TRK18233748"/>
    <n v="6"/>
    <s v="SAVE10"/>
    <x v="3"/>
    <n v="1159.0999999999999"/>
  </r>
  <r>
    <s v="ORD200323"/>
    <d v="2025-01-26T00:00:00"/>
    <s v="C29416"/>
    <s v="Laptop"/>
    <n v="1"/>
    <n v="150.16999999999999"/>
    <s v="414 Main St"/>
    <x v="0"/>
    <s v="Returned"/>
    <s v="TRK63820842"/>
    <n v="1"/>
    <s v="SAVE10"/>
    <x v="1"/>
    <n v="150.16999999999999"/>
  </r>
  <r>
    <s v="ORD200324"/>
    <d v="2024-06-13T00:00:00"/>
    <s v="C13525"/>
    <s v="Tablet"/>
    <n v="3"/>
    <n v="70.930000000000007"/>
    <s v="847 Main St"/>
    <x v="0"/>
    <s v="Returned"/>
    <s v="TRK70193221"/>
    <n v="5"/>
    <m/>
    <x v="1"/>
    <n v="212.79"/>
  </r>
  <r>
    <s v="ORD200325"/>
    <d v="2023-06-29T00:00:00"/>
    <s v="C53545"/>
    <s v="Desk"/>
    <n v="3"/>
    <n v="361.39"/>
    <s v="665 Main St"/>
    <x v="2"/>
    <s v="Shipped"/>
    <s v="TRK61123177"/>
    <n v="8"/>
    <m/>
    <x v="1"/>
    <n v="1084.17"/>
  </r>
  <r>
    <s v="ORD200326"/>
    <d v="2024-07-01T00:00:00"/>
    <s v="C65986"/>
    <s v="Laptop"/>
    <n v="5"/>
    <n v="670.48"/>
    <s v="273 Main St"/>
    <x v="3"/>
    <s v="Returned"/>
    <s v="TRK98353867"/>
    <n v="5"/>
    <s v="SAVE10"/>
    <x v="3"/>
    <n v="3352.4"/>
  </r>
  <r>
    <s v="ORD200327"/>
    <d v="2023-07-25T00:00:00"/>
    <s v="C17302"/>
    <s v="Phone"/>
    <n v="1"/>
    <n v="359.99"/>
    <s v="385 Main St"/>
    <x v="3"/>
    <s v="Cancelled"/>
    <s v="TRK43940016"/>
    <n v="5"/>
    <s v="SAVE10"/>
    <x v="2"/>
    <n v="359.99"/>
  </r>
  <r>
    <s v="ORD200328"/>
    <d v="2023-02-28T00:00:00"/>
    <s v="C18404"/>
    <s v="Tablet"/>
    <n v="5"/>
    <n v="674.04"/>
    <s v="546 Main St"/>
    <x v="1"/>
    <s v="Cancelled"/>
    <s v="TRK89401624"/>
    <n v="7"/>
    <s v="SAVE10"/>
    <x v="4"/>
    <n v="3370.2"/>
  </r>
  <r>
    <s v="ORD200329"/>
    <d v="2024-12-25T00:00:00"/>
    <s v="C88371"/>
    <s v="Chair"/>
    <n v="4"/>
    <n v="283.16000000000003"/>
    <s v="306 Main St"/>
    <x v="2"/>
    <s v="Shipped"/>
    <s v="TRK63224811"/>
    <n v="6"/>
    <m/>
    <x v="4"/>
    <n v="1132.6400000000001"/>
  </r>
  <r>
    <s v="ORD200330"/>
    <d v="2024-06-02T00:00:00"/>
    <s v="C38068"/>
    <s v="Desk"/>
    <n v="5"/>
    <n v="260.52999999999997"/>
    <s v="532 Main St"/>
    <x v="3"/>
    <s v="Pending"/>
    <s v="TRK54059198"/>
    <n v="5"/>
    <s v="SAVE10"/>
    <x v="0"/>
    <n v="1302.6500000000001"/>
  </r>
  <r>
    <s v="ORD200331"/>
    <d v="2023-04-15T00:00:00"/>
    <s v="C78724"/>
    <s v="Printer"/>
    <n v="3"/>
    <n v="422.13"/>
    <s v="187 Main St"/>
    <x v="1"/>
    <s v="Delivered"/>
    <s v="TRK25703134"/>
    <n v="7"/>
    <s v="SAVE10"/>
    <x v="3"/>
    <n v="1266.3900000000001"/>
  </r>
  <r>
    <s v="ORD200332"/>
    <d v="2024-07-03T00:00:00"/>
    <s v="C26163"/>
    <s v="Desk"/>
    <n v="5"/>
    <n v="125.02"/>
    <s v="607 Main St"/>
    <x v="0"/>
    <s v="Pending"/>
    <s v="TRK67499316"/>
    <n v="9"/>
    <s v="SAVE10"/>
    <x v="4"/>
    <n v="625.1"/>
  </r>
  <r>
    <s v="ORD200333"/>
    <d v="2024-04-16T00:00:00"/>
    <s v="C87124"/>
    <s v="Phone"/>
    <n v="1"/>
    <n v="198.51"/>
    <s v="818 Main St"/>
    <x v="2"/>
    <s v="Returned"/>
    <s v="TRK52086740"/>
    <n v="5"/>
    <s v="WINTER15"/>
    <x v="0"/>
    <n v="198.51"/>
  </r>
  <r>
    <s v="ORD200334"/>
    <d v="2024-03-26T00:00:00"/>
    <s v="C90348"/>
    <s v="Chair"/>
    <n v="4"/>
    <n v="224.75"/>
    <s v="728 Main St"/>
    <x v="1"/>
    <s v="Delivered"/>
    <s v="TRK20635777"/>
    <n v="7"/>
    <s v="WINTER15"/>
    <x v="3"/>
    <n v="899"/>
  </r>
  <r>
    <s v="ORD200335"/>
    <d v="2025-03-03T00:00:00"/>
    <s v="C58721"/>
    <s v="Tablet"/>
    <n v="3"/>
    <n v="205.86"/>
    <s v="978 Main St"/>
    <x v="3"/>
    <s v="Shipped"/>
    <s v="TRK34801199"/>
    <n v="4"/>
    <m/>
    <x v="2"/>
    <n v="617.58000000000004"/>
  </r>
  <r>
    <s v="ORD200336"/>
    <d v="2023-12-29T00:00:00"/>
    <s v="C88174"/>
    <s v="Laptop"/>
    <n v="1"/>
    <n v="18.2"/>
    <s v="441 Main St"/>
    <x v="0"/>
    <s v="Pending"/>
    <s v="TRK10143345"/>
    <n v="4"/>
    <s v="SAVE10"/>
    <x v="0"/>
    <n v="18.2"/>
  </r>
  <r>
    <s v="ORD200337"/>
    <d v="2023-05-29T00:00:00"/>
    <s v="C77763"/>
    <s v="Tablet"/>
    <n v="3"/>
    <n v="502.77"/>
    <s v="599 Main St"/>
    <x v="0"/>
    <s v="Returned"/>
    <s v="TRK66980447"/>
    <n v="8"/>
    <s v="WINTER15"/>
    <x v="2"/>
    <n v="1508.31"/>
  </r>
  <r>
    <s v="ORD200338"/>
    <d v="2023-11-08T00:00:00"/>
    <s v="C53627"/>
    <s v="Phone"/>
    <n v="5"/>
    <n v="305.49"/>
    <s v="704 Main St"/>
    <x v="0"/>
    <s v="Shipped"/>
    <s v="TRK64112352"/>
    <n v="10"/>
    <m/>
    <x v="1"/>
    <n v="1527.45"/>
  </r>
  <r>
    <s v="ORD200339"/>
    <d v="2024-04-10T00:00:00"/>
    <s v="C84563"/>
    <s v="Printer"/>
    <n v="2"/>
    <n v="236.33"/>
    <s v="398 Main St"/>
    <x v="1"/>
    <s v="Pending"/>
    <s v="TRK62422797"/>
    <n v="3"/>
    <s v="SAVE10"/>
    <x v="0"/>
    <n v="472.66"/>
  </r>
  <r>
    <s v="ORD200340"/>
    <d v="2023-04-23T00:00:00"/>
    <s v="C76207"/>
    <s v="Laptop"/>
    <n v="5"/>
    <n v="521.25"/>
    <s v="826 Main St"/>
    <x v="4"/>
    <s v="Cancelled"/>
    <s v="TRK25569378"/>
    <n v="8"/>
    <m/>
    <x v="2"/>
    <n v="2606.25"/>
  </r>
  <r>
    <s v="ORD200341"/>
    <d v="2024-09-23T00:00:00"/>
    <s v="C94671"/>
    <s v="Tablet"/>
    <n v="1"/>
    <n v="167.15"/>
    <s v="293 Main St"/>
    <x v="3"/>
    <s v="Shipped"/>
    <s v="TRK61357272"/>
    <n v="5"/>
    <s v="WINTER15"/>
    <x v="2"/>
    <n v="167.15"/>
  </r>
  <r>
    <s v="ORD200342"/>
    <d v="2025-06-24T00:00:00"/>
    <s v="C69994"/>
    <s v="Monitor"/>
    <n v="5"/>
    <n v="466.42"/>
    <s v="619 Main St"/>
    <x v="3"/>
    <s v="Returned"/>
    <s v="TRK95935805"/>
    <n v="5"/>
    <m/>
    <x v="1"/>
    <n v="2332.1"/>
  </r>
  <r>
    <s v="ORD200343"/>
    <d v="2023-02-26T00:00:00"/>
    <s v="C64638"/>
    <s v="Printer"/>
    <n v="1"/>
    <n v="527.57000000000005"/>
    <s v="919 Main St"/>
    <x v="0"/>
    <s v="Pending"/>
    <s v="TRK64087938"/>
    <n v="3"/>
    <s v="FREESHIP"/>
    <x v="3"/>
    <n v="527.57000000000005"/>
  </r>
  <r>
    <s v="ORD200344"/>
    <d v="2025-03-06T00:00:00"/>
    <s v="C95623"/>
    <s v="Tablet"/>
    <n v="3"/>
    <n v="623.34"/>
    <s v="248 Main St"/>
    <x v="1"/>
    <s v="Cancelled"/>
    <s v="TRK67558189"/>
    <n v="3"/>
    <s v="SAVE10"/>
    <x v="0"/>
    <n v="1870.02"/>
  </r>
  <r>
    <s v="ORD200345"/>
    <d v="2023-12-07T00:00:00"/>
    <s v="C24751"/>
    <s v="Tablet"/>
    <n v="5"/>
    <n v="501.26"/>
    <s v="259 Main St"/>
    <x v="3"/>
    <s v="Shipped"/>
    <s v="TRK37285406"/>
    <n v="10"/>
    <s v="FREESHIP"/>
    <x v="1"/>
    <n v="2506.3000000000002"/>
  </r>
  <r>
    <s v="ORD200346"/>
    <d v="2024-12-06T00:00:00"/>
    <s v="C31764"/>
    <s v="Tablet"/>
    <n v="1"/>
    <n v="655.09"/>
    <s v="876 Main St"/>
    <x v="4"/>
    <s v="Pending"/>
    <s v="TRK44680433"/>
    <n v="6"/>
    <m/>
    <x v="1"/>
    <n v="655.09"/>
  </r>
  <r>
    <s v="ORD200347"/>
    <d v="2024-02-03T00:00:00"/>
    <s v="C83556"/>
    <s v="Printer"/>
    <n v="4"/>
    <n v="264.79000000000002"/>
    <s v="380 Main St"/>
    <x v="2"/>
    <s v="Pending"/>
    <s v="TRK21109187"/>
    <n v="5"/>
    <s v="SAVE10"/>
    <x v="4"/>
    <n v="1059.1600000000001"/>
  </r>
  <r>
    <s v="ORD200348"/>
    <d v="2024-03-13T00:00:00"/>
    <s v="C24369"/>
    <s v="Laptop"/>
    <n v="3"/>
    <n v="359.73"/>
    <s v="885 Main St"/>
    <x v="0"/>
    <s v="Returned"/>
    <s v="TRK72633998"/>
    <n v="7"/>
    <s v="FREESHIP"/>
    <x v="2"/>
    <n v="1079.19"/>
  </r>
  <r>
    <s v="ORD200349"/>
    <d v="2023-11-30T00:00:00"/>
    <s v="C39648"/>
    <s v="Chair"/>
    <n v="1"/>
    <n v="465.33"/>
    <s v="824 Main St"/>
    <x v="3"/>
    <s v="Delivered"/>
    <s v="TRK56016905"/>
    <n v="2"/>
    <s v="FREESHIP"/>
    <x v="4"/>
    <n v="465.33"/>
  </r>
  <r>
    <s v="ORD200350"/>
    <d v="2023-06-03T00:00:00"/>
    <s v="C13296"/>
    <s v="Chair"/>
    <n v="2"/>
    <n v="54.41"/>
    <s v="495 Main St"/>
    <x v="1"/>
    <s v="Shipped"/>
    <s v="TRK60127216"/>
    <n v="6"/>
    <m/>
    <x v="0"/>
    <n v="108.82"/>
  </r>
  <r>
    <s v="ORD200351"/>
    <d v="2025-02-15T00:00:00"/>
    <s v="C94248"/>
    <s v="Laptop"/>
    <n v="1"/>
    <n v="64.66"/>
    <s v="494 Main St"/>
    <x v="0"/>
    <s v="Delivered"/>
    <s v="TRK89406816"/>
    <n v="4"/>
    <m/>
    <x v="0"/>
    <n v="64.66"/>
  </r>
  <r>
    <s v="ORD200352"/>
    <d v="2023-08-31T00:00:00"/>
    <s v="C26637"/>
    <s v="Chair"/>
    <n v="5"/>
    <n v="173.96"/>
    <s v="995 Main St"/>
    <x v="0"/>
    <s v="Pending"/>
    <s v="TRK59546992"/>
    <n v="8"/>
    <s v="WINTER15"/>
    <x v="0"/>
    <n v="869.80000000000007"/>
  </r>
  <r>
    <s v="ORD200353"/>
    <d v="2025-03-28T00:00:00"/>
    <s v="C16012"/>
    <s v="Tablet"/>
    <n v="1"/>
    <n v="630.82000000000005"/>
    <s v="171 Main St"/>
    <x v="1"/>
    <s v="Delivered"/>
    <s v="TRK15195225"/>
    <n v="5"/>
    <s v="FREESHIP"/>
    <x v="4"/>
    <n v="630.82000000000005"/>
  </r>
  <r>
    <s v="ORD200354"/>
    <d v="2023-07-11T00:00:00"/>
    <s v="C31772"/>
    <s v="Phone"/>
    <n v="1"/>
    <n v="693.41"/>
    <s v="992 Main St"/>
    <x v="0"/>
    <s v="Shipped"/>
    <s v="TRK11970357"/>
    <n v="4"/>
    <m/>
    <x v="0"/>
    <n v="693.41"/>
  </r>
  <r>
    <s v="ORD200355"/>
    <d v="2025-06-03T00:00:00"/>
    <s v="C18353"/>
    <s v="Tablet"/>
    <n v="3"/>
    <n v="433.33"/>
    <s v="677 Main St"/>
    <x v="2"/>
    <s v="Cancelled"/>
    <s v="TRK78766533"/>
    <n v="4"/>
    <s v="FREESHIP"/>
    <x v="1"/>
    <n v="1299.99"/>
  </r>
  <r>
    <s v="ORD200356"/>
    <d v="2023-05-06T00:00:00"/>
    <s v="C26966"/>
    <s v="Printer"/>
    <n v="5"/>
    <n v="374.58"/>
    <s v="907 Main St"/>
    <x v="3"/>
    <s v="Cancelled"/>
    <s v="TRK83889574"/>
    <n v="10"/>
    <s v="FREESHIP"/>
    <x v="0"/>
    <n v="1872.9"/>
  </r>
  <r>
    <s v="ORD200357"/>
    <d v="2023-07-08T00:00:00"/>
    <s v="C74982"/>
    <s v="Laptop"/>
    <n v="5"/>
    <n v="408.56"/>
    <s v="398 Main St"/>
    <x v="0"/>
    <s v="Delivered"/>
    <s v="TRK98700702"/>
    <n v="8"/>
    <s v="FREESHIP"/>
    <x v="0"/>
    <n v="2042.8"/>
  </r>
  <r>
    <s v="ORD200358"/>
    <d v="2024-04-07T00:00:00"/>
    <s v="C70633"/>
    <s v="Tablet"/>
    <n v="2"/>
    <n v="183.67"/>
    <s v="747 Main St"/>
    <x v="1"/>
    <s v="Cancelled"/>
    <s v="TRK82540521"/>
    <n v="3"/>
    <s v="SAVE10"/>
    <x v="4"/>
    <n v="367.34"/>
  </r>
  <r>
    <s v="ORD200359"/>
    <d v="2023-06-09T00:00:00"/>
    <s v="C95643"/>
    <s v="Desk"/>
    <n v="4"/>
    <n v="606.57000000000005"/>
    <s v="303 Main St"/>
    <x v="0"/>
    <s v="Delivered"/>
    <s v="TRK23286689"/>
    <n v="5"/>
    <s v="WINTER15"/>
    <x v="1"/>
    <n v="2426.2800000000002"/>
  </r>
  <r>
    <s v="ORD200360"/>
    <d v="2024-06-06T00:00:00"/>
    <s v="C53810"/>
    <s v="Phone"/>
    <n v="4"/>
    <n v="589.57000000000005"/>
    <s v="779 Main St"/>
    <x v="4"/>
    <s v="Pending"/>
    <s v="TRK34630612"/>
    <n v="8"/>
    <m/>
    <x v="0"/>
    <n v="2358.2800000000002"/>
  </r>
  <r>
    <s v="ORD200361"/>
    <d v="2024-06-29T00:00:00"/>
    <s v="C53464"/>
    <s v="Printer"/>
    <n v="5"/>
    <n v="659.85"/>
    <s v="197 Main St"/>
    <x v="2"/>
    <s v="Delivered"/>
    <s v="TRK32743531"/>
    <n v="9"/>
    <s v="SAVE10"/>
    <x v="3"/>
    <n v="3299.25"/>
  </r>
  <r>
    <s v="ORD200362"/>
    <d v="2023-06-27T00:00:00"/>
    <s v="C53697"/>
    <s v="Monitor"/>
    <n v="4"/>
    <n v="206.84"/>
    <s v="312 Main St"/>
    <x v="4"/>
    <s v="Cancelled"/>
    <s v="TRK60476656"/>
    <n v="5"/>
    <s v="WINTER15"/>
    <x v="0"/>
    <n v="827.36"/>
  </r>
  <r>
    <s v="ORD200363"/>
    <d v="2024-05-24T00:00:00"/>
    <s v="C31668"/>
    <s v="Laptop"/>
    <n v="5"/>
    <n v="113.87"/>
    <s v="871 Main St"/>
    <x v="2"/>
    <s v="Pending"/>
    <s v="TRK42584392"/>
    <n v="6"/>
    <s v="SAVE10"/>
    <x v="2"/>
    <n v="569.35"/>
  </r>
  <r>
    <s v="ORD200364"/>
    <d v="2023-11-24T00:00:00"/>
    <s v="C85282"/>
    <s v="Phone"/>
    <n v="5"/>
    <n v="628.74"/>
    <s v="740 Main St"/>
    <x v="4"/>
    <s v="Cancelled"/>
    <s v="TRK86767206"/>
    <n v="9"/>
    <s v="FREESHIP"/>
    <x v="3"/>
    <n v="3143.7"/>
  </r>
  <r>
    <s v="ORD200365"/>
    <d v="2025-02-14T00:00:00"/>
    <s v="C56796"/>
    <s v="Phone"/>
    <n v="1"/>
    <n v="678.38"/>
    <s v="607 Main St"/>
    <x v="2"/>
    <s v="Cancelled"/>
    <s v="TRK74263180"/>
    <n v="4"/>
    <s v="SAVE10"/>
    <x v="1"/>
    <n v="678.38"/>
  </r>
  <r>
    <s v="ORD200366"/>
    <d v="2023-02-10T00:00:00"/>
    <s v="C95213"/>
    <s v="Printer"/>
    <n v="3"/>
    <n v="602.24"/>
    <s v="603 Main St"/>
    <x v="0"/>
    <s v="Pending"/>
    <s v="TRK40630538"/>
    <n v="8"/>
    <m/>
    <x v="1"/>
    <n v="1806.72"/>
  </r>
  <r>
    <s v="ORD200367"/>
    <d v="2024-04-25T00:00:00"/>
    <s v="C13108"/>
    <s v="Laptop"/>
    <n v="5"/>
    <n v="658.77"/>
    <s v="712 Main St"/>
    <x v="3"/>
    <s v="Pending"/>
    <s v="TRK82284400"/>
    <n v="10"/>
    <s v="FREESHIP"/>
    <x v="0"/>
    <n v="3293.85"/>
  </r>
  <r>
    <s v="ORD200368"/>
    <d v="2023-05-01T00:00:00"/>
    <s v="C85322"/>
    <s v="Monitor"/>
    <n v="3"/>
    <n v="271.02"/>
    <s v="403 Main St"/>
    <x v="2"/>
    <s v="Cancelled"/>
    <s v="TRK89728869"/>
    <n v="6"/>
    <m/>
    <x v="4"/>
    <n v="813.06"/>
  </r>
  <r>
    <s v="ORD200369"/>
    <d v="2024-12-22T00:00:00"/>
    <s v="C43545"/>
    <s v="Monitor"/>
    <n v="5"/>
    <n v="375.25"/>
    <s v="216 Main St"/>
    <x v="3"/>
    <s v="Pending"/>
    <s v="TRK73937402"/>
    <n v="9"/>
    <s v="SAVE10"/>
    <x v="2"/>
    <n v="1876.25"/>
  </r>
  <r>
    <s v="ORD200370"/>
    <d v="2025-05-03T00:00:00"/>
    <s v="C80649"/>
    <s v="Phone"/>
    <n v="1"/>
    <n v="312.11"/>
    <s v="870 Main St"/>
    <x v="1"/>
    <s v="Cancelled"/>
    <s v="TRK41143313"/>
    <n v="4"/>
    <s v="WINTER15"/>
    <x v="3"/>
    <n v="312.11"/>
  </r>
  <r>
    <s v="ORD200371"/>
    <d v="2023-01-05T00:00:00"/>
    <s v="C59752"/>
    <s v="Phone"/>
    <n v="5"/>
    <n v="307.76"/>
    <s v="179 Main St"/>
    <x v="3"/>
    <s v="Pending"/>
    <s v="TRK82229639"/>
    <n v="9"/>
    <s v="FREESHIP"/>
    <x v="4"/>
    <n v="1538.8"/>
  </r>
  <r>
    <s v="ORD200372"/>
    <d v="2025-02-14T00:00:00"/>
    <s v="C53645"/>
    <s v="Chair"/>
    <n v="3"/>
    <n v="483.53"/>
    <s v="166 Main St"/>
    <x v="4"/>
    <s v="Returned"/>
    <s v="TRK12123939"/>
    <n v="4"/>
    <m/>
    <x v="1"/>
    <n v="1450.59"/>
  </r>
  <r>
    <s v="ORD200373"/>
    <d v="2023-01-02T00:00:00"/>
    <s v="C60178"/>
    <s v="Laptop"/>
    <n v="3"/>
    <n v="341.15"/>
    <s v="969 Main St"/>
    <x v="4"/>
    <s v="Pending"/>
    <s v="TRK84505143"/>
    <n v="4"/>
    <s v="FREESHIP"/>
    <x v="0"/>
    <n v="1023.45"/>
  </r>
  <r>
    <s v="ORD200374"/>
    <d v="2024-09-16T00:00:00"/>
    <s v="C20286"/>
    <s v="Monitor"/>
    <n v="1"/>
    <n v="571.9"/>
    <s v="129 Main St"/>
    <x v="3"/>
    <s v="Pending"/>
    <s v="TRK67648338"/>
    <n v="1"/>
    <s v="WINTER15"/>
    <x v="0"/>
    <n v="571.9"/>
  </r>
  <r>
    <s v="ORD200375"/>
    <d v="2025-01-16T00:00:00"/>
    <s v="C87547"/>
    <s v="Monitor"/>
    <n v="4"/>
    <n v="95.03"/>
    <s v="400 Main St"/>
    <x v="1"/>
    <s v="Shipped"/>
    <s v="TRK71027262"/>
    <n v="8"/>
    <s v="FREESHIP"/>
    <x v="3"/>
    <n v="380.12"/>
  </r>
  <r>
    <s v="ORD200376"/>
    <d v="2023-08-24T00:00:00"/>
    <s v="C64549"/>
    <s v="Monitor"/>
    <n v="5"/>
    <n v="201.22"/>
    <s v="341 Main St"/>
    <x v="0"/>
    <s v="Pending"/>
    <s v="TRK20788231"/>
    <n v="6"/>
    <s v="FREESHIP"/>
    <x v="3"/>
    <n v="1006.1"/>
  </r>
  <r>
    <s v="ORD200377"/>
    <d v="2024-07-22T00:00:00"/>
    <s v="C24884"/>
    <s v="Monitor"/>
    <n v="1"/>
    <n v="260.26"/>
    <s v="625 Main St"/>
    <x v="1"/>
    <s v="Pending"/>
    <s v="TRK44538419"/>
    <n v="5"/>
    <s v="WINTER15"/>
    <x v="0"/>
    <n v="260.26"/>
  </r>
  <r>
    <s v="ORD200378"/>
    <d v="2024-02-01T00:00:00"/>
    <s v="C62666"/>
    <s v="Chair"/>
    <n v="5"/>
    <n v="64.5"/>
    <s v="148 Main St"/>
    <x v="2"/>
    <s v="Pending"/>
    <s v="TRK91029390"/>
    <n v="8"/>
    <s v="WINTER15"/>
    <x v="0"/>
    <n v="322.5"/>
  </r>
  <r>
    <s v="ORD200379"/>
    <d v="2024-09-21T00:00:00"/>
    <s v="C47284"/>
    <s v="Phone"/>
    <n v="3"/>
    <n v="297.67"/>
    <s v="500 Main St"/>
    <x v="1"/>
    <s v="Shipped"/>
    <s v="TRK85756094"/>
    <n v="6"/>
    <m/>
    <x v="4"/>
    <n v="893.01"/>
  </r>
  <r>
    <s v="ORD200380"/>
    <d v="2024-04-20T00:00:00"/>
    <s v="C35355"/>
    <s v="Printer"/>
    <n v="4"/>
    <n v="331.9"/>
    <s v="127 Main St"/>
    <x v="4"/>
    <s v="Pending"/>
    <s v="TRK52935059"/>
    <n v="5"/>
    <s v="SAVE10"/>
    <x v="0"/>
    <n v="1327.6"/>
  </r>
  <r>
    <s v="ORD200381"/>
    <d v="2023-06-07T00:00:00"/>
    <s v="C29467"/>
    <s v="Chair"/>
    <n v="1"/>
    <n v="191.76"/>
    <s v="223 Main St"/>
    <x v="2"/>
    <s v="Returned"/>
    <s v="TRK98103385"/>
    <n v="1"/>
    <s v="FREESHIP"/>
    <x v="0"/>
    <n v="191.76"/>
  </r>
  <r>
    <s v="ORD200382"/>
    <d v="2025-01-30T00:00:00"/>
    <s v="C26718"/>
    <s v="Printer"/>
    <n v="4"/>
    <n v="263.08999999999997"/>
    <s v="272 Main St"/>
    <x v="0"/>
    <s v="Shipped"/>
    <s v="TRK91702525"/>
    <n v="8"/>
    <s v="SAVE10"/>
    <x v="4"/>
    <n v="1052.3599999999999"/>
  </r>
  <r>
    <s v="ORD200383"/>
    <d v="2023-01-20T00:00:00"/>
    <s v="C18944"/>
    <s v="Chair"/>
    <n v="4"/>
    <n v="393.8"/>
    <s v="837 Main St"/>
    <x v="2"/>
    <s v="Pending"/>
    <s v="TRK45275439"/>
    <n v="7"/>
    <s v="SAVE10"/>
    <x v="2"/>
    <n v="1575.2"/>
  </r>
  <r>
    <s v="ORD200384"/>
    <d v="2024-11-24T00:00:00"/>
    <s v="C35628"/>
    <s v="Chair"/>
    <n v="3"/>
    <n v="553.57000000000005"/>
    <s v="147 Main St"/>
    <x v="2"/>
    <s v="Returned"/>
    <s v="TRK45688220"/>
    <n v="4"/>
    <s v="FREESHIP"/>
    <x v="3"/>
    <n v="1660.71"/>
  </r>
  <r>
    <s v="ORD200385"/>
    <d v="2023-10-31T00:00:00"/>
    <s v="C56851"/>
    <s v="Chair"/>
    <n v="5"/>
    <n v="191.63"/>
    <s v="752 Main St"/>
    <x v="3"/>
    <s v="Delivered"/>
    <s v="TRK65290904"/>
    <n v="6"/>
    <s v="FREESHIP"/>
    <x v="3"/>
    <n v="958.15"/>
  </r>
  <r>
    <s v="ORD200386"/>
    <d v="2023-04-28T00:00:00"/>
    <s v="C12421"/>
    <s v="Tablet"/>
    <n v="1"/>
    <n v="93.02"/>
    <s v="373 Main St"/>
    <x v="1"/>
    <s v="Returned"/>
    <s v="TRK32588504"/>
    <n v="4"/>
    <m/>
    <x v="2"/>
    <n v="93.02"/>
  </r>
  <r>
    <s v="ORD200387"/>
    <d v="2024-06-27T00:00:00"/>
    <s v="C25316"/>
    <s v="Printer"/>
    <n v="2"/>
    <n v="39.53"/>
    <s v="904 Main St"/>
    <x v="2"/>
    <s v="Shipped"/>
    <s v="TRK55423551"/>
    <n v="3"/>
    <s v="WINTER15"/>
    <x v="4"/>
    <n v="79.06"/>
  </r>
  <r>
    <s v="ORD200388"/>
    <d v="2023-12-28T00:00:00"/>
    <s v="C22657"/>
    <s v="Printer"/>
    <n v="3"/>
    <n v="633.97"/>
    <s v="152 Main St"/>
    <x v="4"/>
    <s v="Pending"/>
    <s v="TRK49157047"/>
    <n v="7"/>
    <s v="WINTER15"/>
    <x v="3"/>
    <n v="1901.91"/>
  </r>
  <r>
    <s v="ORD200389"/>
    <d v="2023-12-17T00:00:00"/>
    <s v="C29703"/>
    <s v="Desk"/>
    <n v="4"/>
    <n v="697.5"/>
    <s v="558 Main St"/>
    <x v="4"/>
    <s v="Shipped"/>
    <s v="TRK40543461"/>
    <n v="7"/>
    <s v="FREESHIP"/>
    <x v="1"/>
    <n v="2790"/>
  </r>
  <r>
    <s v="ORD200390"/>
    <d v="2023-07-14T00:00:00"/>
    <s v="C55996"/>
    <s v="Printer"/>
    <n v="5"/>
    <n v="508.69"/>
    <s v="885 Main St"/>
    <x v="4"/>
    <s v="Delivered"/>
    <s v="TRK30547638"/>
    <n v="10"/>
    <s v="FREESHIP"/>
    <x v="4"/>
    <n v="2543.4499999999998"/>
  </r>
  <r>
    <s v="ORD200391"/>
    <d v="2025-01-16T00:00:00"/>
    <s v="C60037"/>
    <s v="Laptop"/>
    <n v="2"/>
    <n v="527.46"/>
    <s v="516 Main St"/>
    <x v="0"/>
    <s v="Cancelled"/>
    <s v="TRK82009557"/>
    <n v="3"/>
    <s v="FREESHIP"/>
    <x v="1"/>
    <n v="1054.92"/>
  </r>
  <r>
    <s v="ORD200392"/>
    <d v="2024-02-28T00:00:00"/>
    <s v="C95100"/>
    <s v="Phone"/>
    <n v="1"/>
    <n v="627.20000000000005"/>
    <s v="197 Main St"/>
    <x v="1"/>
    <s v="Delivered"/>
    <s v="TRK47366265"/>
    <n v="1"/>
    <s v="WINTER15"/>
    <x v="2"/>
    <n v="627.20000000000005"/>
  </r>
  <r>
    <s v="ORD200393"/>
    <d v="2024-07-14T00:00:00"/>
    <s v="C39906"/>
    <s v="Printer"/>
    <n v="1"/>
    <n v="75.010000000000005"/>
    <s v="921 Main St"/>
    <x v="2"/>
    <s v="Returned"/>
    <s v="TRK24632134"/>
    <n v="3"/>
    <m/>
    <x v="4"/>
    <n v="75.010000000000005"/>
  </r>
  <r>
    <s v="ORD200394"/>
    <d v="2023-07-05T00:00:00"/>
    <s v="C70148"/>
    <s v="Desk"/>
    <n v="5"/>
    <n v="529.54999999999995"/>
    <s v="359 Main St"/>
    <x v="3"/>
    <s v="Shipped"/>
    <s v="TRK34848650"/>
    <n v="10"/>
    <m/>
    <x v="3"/>
    <n v="2647.75"/>
  </r>
  <r>
    <s v="ORD200395"/>
    <d v="2025-04-25T00:00:00"/>
    <s v="C30010"/>
    <s v="Phone"/>
    <n v="3"/>
    <n v="127.41"/>
    <s v="830 Main St"/>
    <x v="3"/>
    <s v="Delivered"/>
    <s v="TRK35386084"/>
    <n v="7"/>
    <s v="SAVE10"/>
    <x v="1"/>
    <n v="382.23"/>
  </r>
  <r>
    <s v="ORD200396"/>
    <d v="2023-12-01T00:00:00"/>
    <s v="C99217"/>
    <s v="Tablet"/>
    <n v="5"/>
    <n v="287.13"/>
    <s v="778 Main St"/>
    <x v="1"/>
    <s v="Shipped"/>
    <s v="TRK82004594"/>
    <n v="10"/>
    <s v="SAVE10"/>
    <x v="2"/>
    <n v="1435.65"/>
  </r>
  <r>
    <s v="ORD200397"/>
    <d v="2023-09-28T00:00:00"/>
    <s v="C30184"/>
    <s v="Monitor"/>
    <n v="1"/>
    <n v="427.06"/>
    <s v="987 Main St"/>
    <x v="1"/>
    <s v="Cancelled"/>
    <s v="TRK86674704"/>
    <n v="1"/>
    <s v="WINTER15"/>
    <x v="1"/>
    <n v="427.06"/>
  </r>
  <r>
    <s v="ORD200398"/>
    <d v="2024-09-04T00:00:00"/>
    <s v="C50275"/>
    <s v="Phone"/>
    <n v="5"/>
    <n v="53.93"/>
    <s v="729 Main St"/>
    <x v="3"/>
    <s v="Shipped"/>
    <s v="TRK98925264"/>
    <n v="7"/>
    <s v="SAVE10"/>
    <x v="0"/>
    <n v="269.64999999999998"/>
  </r>
  <r>
    <s v="ORD200399"/>
    <d v="2024-01-07T00:00:00"/>
    <s v="C64641"/>
    <s v="Tablet"/>
    <n v="5"/>
    <n v="423.93"/>
    <s v="319 Main St"/>
    <x v="0"/>
    <s v="Returned"/>
    <s v="TRK32012588"/>
    <n v="5"/>
    <s v="FREESHIP"/>
    <x v="3"/>
    <n v="2119.65"/>
  </r>
  <r>
    <s v="ORD200400"/>
    <d v="2024-09-28T00:00:00"/>
    <s v="C56266"/>
    <s v="Desk"/>
    <n v="4"/>
    <n v="160.22"/>
    <s v="304 Main St"/>
    <x v="0"/>
    <s v="Returned"/>
    <s v="TRK60088901"/>
    <n v="9"/>
    <s v="WINTER15"/>
    <x v="0"/>
    <n v="640.88"/>
  </r>
  <r>
    <s v="ORD200401"/>
    <d v="2025-04-09T00:00:00"/>
    <s v="C98635"/>
    <s v="Printer"/>
    <n v="1"/>
    <n v="538.67999999999995"/>
    <s v="197 Main St"/>
    <x v="0"/>
    <s v="Returned"/>
    <s v="TRK14225465"/>
    <n v="6"/>
    <m/>
    <x v="1"/>
    <n v="538.67999999999995"/>
  </r>
  <r>
    <s v="ORD200402"/>
    <d v="2023-04-09T00:00:00"/>
    <s v="C83026"/>
    <s v="Printer"/>
    <n v="5"/>
    <n v="337.38"/>
    <s v="858 Main St"/>
    <x v="3"/>
    <s v="Shipped"/>
    <s v="TRK79746259"/>
    <n v="5"/>
    <m/>
    <x v="1"/>
    <n v="1686.9"/>
  </r>
  <r>
    <s v="ORD200403"/>
    <d v="2024-11-10T00:00:00"/>
    <s v="C28893"/>
    <s v="Tablet"/>
    <n v="1"/>
    <n v="620.21"/>
    <s v="740 Main St"/>
    <x v="1"/>
    <s v="Returned"/>
    <s v="TRK98333066"/>
    <n v="1"/>
    <s v="FREESHIP"/>
    <x v="1"/>
    <n v="620.21"/>
  </r>
  <r>
    <s v="ORD200404"/>
    <d v="2023-03-09T00:00:00"/>
    <s v="C45482"/>
    <s v="Monitor"/>
    <n v="2"/>
    <n v="99.1"/>
    <s v="440 Main St"/>
    <x v="4"/>
    <s v="Delivered"/>
    <s v="TRK54571699"/>
    <n v="6"/>
    <m/>
    <x v="0"/>
    <n v="198.2"/>
  </r>
  <r>
    <s v="ORD200405"/>
    <d v="2025-01-26T00:00:00"/>
    <s v="C97774"/>
    <s v="Monitor"/>
    <n v="4"/>
    <n v="451.97"/>
    <s v="603 Main St"/>
    <x v="1"/>
    <s v="Cancelled"/>
    <s v="TRK64664424"/>
    <n v="7"/>
    <s v="WINTER15"/>
    <x v="2"/>
    <n v="1807.88"/>
  </r>
  <r>
    <s v="ORD200406"/>
    <d v="2023-12-10T00:00:00"/>
    <s v="C11657"/>
    <s v="Tablet"/>
    <n v="4"/>
    <n v="66.099999999999994"/>
    <s v="572 Main St"/>
    <x v="4"/>
    <s v="Returned"/>
    <s v="TRK50284486"/>
    <n v="9"/>
    <s v="WINTER15"/>
    <x v="4"/>
    <n v="264.39999999999998"/>
  </r>
  <r>
    <s v="ORD200407"/>
    <d v="2023-08-13T00:00:00"/>
    <s v="C85993"/>
    <s v="Tablet"/>
    <n v="4"/>
    <n v="547.32000000000005"/>
    <s v="250 Main St"/>
    <x v="4"/>
    <s v="Returned"/>
    <s v="TRK72547640"/>
    <n v="8"/>
    <s v="FREESHIP"/>
    <x v="0"/>
    <n v="2189.2800000000002"/>
  </r>
  <r>
    <s v="ORD200408"/>
    <d v="2025-01-01T00:00:00"/>
    <s v="C11906"/>
    <s v="Printer"/>
    <n v="3"/>
    <n v="412.53"/>
    <s v="536 Main St"/>
    <x v="1"/>
    <s v="Pending"/>
    <s v="TRK31140158"/>
    <n v="6"/>
    <s v="WINTER15"/>
    <x v="4"/>
    <n v="1237.5899999999999"/>
  </r>
  <r>
    <s v="ORD200409"/>
    <d v="2023-06-28T00:00:00"/>
    <s v="C45187"/>
    <s v="Desk"/>
    <n v="5"/>
    <n v="84.13"/>
    <s v="767 Main St"/>
    <x v="1"/>
    <s v="Delivered"/>
    <s v="TRK12320793"/>
    <n v="9"/>
    <s v="SAVE10"/>
    <x v="4"/>
    <n v="420.65"/>
  </r>
  <r>
    <s v="ORD200410"/>
    <d v="2024-01-18T00:00:00"/>
    <s v="C37375"/>
    <s v="Tablet"/>
    <n v="2"/>
    <n v="518.23"/>
    <s v="184 Main St"/>
    <x v="0"/>
    <s v="Shipped"/>
    <s v="TRK52470162"/>
    <n v="5"/>
    <m/>
    <x v="2"/>
    <n v="1036.46"/>
  </r>
  <r>
    <s v="ORD200411"/>
    <d v="2024-06-19T00:00:00"/>
    <s v="C66567"/>
    <s v="Desk"/>
    <n v="2"/>
    <n v="39.51"/>
    <s v="981 Main St"/>
    <x v="1"/>
    <s v="Shipped"/>
    <s v="TRK21174822"/>
    <n v="5"/>
    <m/>
    <x v="3"/>
    <n v="79.02"/>
  </r>
  <r>
    <s v="ORD200412"/>
    <d v="2025-04-11T00:00:00"/>
    <s v="C42451"/>
    <s v="Tablet"/>
    <n v="5"/>
    <n v="133.01"/>
    <s v="246 Main St"/>
    <x v="2"/>
    <s v="Returned"/>
    <s v="TRK31313343"/>
    <n v="10"/>
    <m/>
    <x v="3"/>
    <n v="665.05"/>
  </r>
  <r>
    <s v="ORD200413"/>
    <d v="2023-10-08T00:00:00"/>
    <s v="C13923"/>
    <s v="Tablet"/>
    <n v="1"/>
    <n v="118.8"/>
    <s v="123 Main St"/>
    <x v="1"/>
    <s v="Delivered"/>
    <s v="TRK87598790"/>
    <n v="6"/>
    <s v="SAVE10"/>
    <x v="2"/>
    <n v="118.8"/>
  </r>
  <r>
    <s v="ORD200414"/>
    <d v="2025-05-04T00:00:00"/>
    <s v="C11829"/>
    <s v="Desk"/>
    <n v="2"/>
    <n v="139.57"/>
    <s v="797 Main St"/>
    <x v="4"/>
    <s v="Delivered"/>
    <s v="TRK84229257"/>
    <n v="4"/>
    <s v="WINTER15"/>
    <x v="3"/>
    <n v="279.14"/>
  </r>
  <r>
    <s v="ORD200415"/>
    <d v="2025-04-06T00:00:00"/>
    <s v="C62169"/>
    <s v="Chair"/>
    <n v="1"/>
    <n v="184.15"/>
    <s v="655 Main St"/>
    <x v="3"/>
    <s v="Shipped"/>
    <s v="TRK64558985"/>
    <n v="5"/>
    <s v="FREESHIP"/>
    <x v="3"/>
    <n v="184.15"/>
  </r>
  <r>
    <s v="ORD200416"/>
    <d v="2023-07-18T00:00:00"/>
    <s v="C20881"/>
    <s v="Laptop"/>
    <n v="2"/>
    <n v="644.04999999999995"/>
    <s v="652 Main St"/>
    <x v="3"/>
    <s v="Cancelled"/>
    <s v="TRK26263902"/>
    <n v="5"/>
    <s v="WINTER15"/>
    <x v="1"/>
    <n v="1288.0999999999999"/>
  </r>
  <r>
    <s v="ORD200417"/>
    <d v="2023-10-24T00:00:00"/>
    <s v="C44492"/>
    <s v="Laptop"/>
    <n v="5"/>
    <n v="55.41"/>
    <s v="954 Main St"/>
    <x v="1"/>
    <s v="Cancelled"/>
    <s v="TRK51429869"/>
    <n v="5"/>
    <m/>
    <x v="4"/>
    <n v="277.05"/>
  </r>
  <r>
    <s v="ORD200418"/>
    <d v="2023-01-11T00:00:00"/>
    <s v="C74169"/>
    <s v="Printer"/>
    <n v="1"/>
    <n v="310.93"/>
    <s v="862 Main St"/>
    <x v="1"/>
    <s v="Cancelled"/>
    <s v="TRK66144809"/>
    <n v="3"/>
    <m/>
    <x v="3"/>
    <n v="310.93"/>
  </r>
  <r>
    <s v="ORD200419"/>
    <d v="2024-04-17T00:00:00"/>
    <s v="C70999"/>
    <s v="Tablet"/>
    <n v="2"/>
    <n v="216.66"/>
    <s v="885 Main St"/>
    <x v="0"/>
    <s v="Pending"/>
    <s v="TRK75644156"/>
    <n v="6"/>
    <s v="FREESHIP"/>
    <x v="0"/>
    <n v="433.32"/>
  </r>
  <r>
    <s v="ORD200420"/>
    <d v="2024-11-29T00:00:00"/>
    <s v="C11921"/>
    <s v="Phone"/>
    <n v="1"/>
    <n v="452.7"/>
    <s v="439 Main St"/>
    <x v="0"/>
    <s v="Shipped"/>
    <s v="TRK91362635"/>
    <n v="5"/>
    <s v="FREESHIP"/>
    <x v="0"/>
    <n v="452.7"/>
  </r>
  <r>
    <s v="ORD200421"/>
    <d v="2023-10-15T00:00:00"/>
    <s v="C50683"/>
    <s v="Chair"/>
    <n v="2"/>
    <n v="288.20999999999998"/>
    <s v="769 Main St"/>
    <x v="0"/>
    <s v="Cancelled"/>
    <s v="TRK53032122"/>
    <n v="5"/>
    <m/>
    <x v="2"/>
    <n v="576.41999999999996"/>
  </r>
  <r>
    <s v="ORD200422"/>
    <d v="2023-06-05T00:00:00"/>
    <s v="C76140"/>
    <s v="Phone"/>
    <n v="4"/>
    <n v="206.6"/>
    <s v="914 Main St"/>
    <x v="3"/>
    <s v="Returned"/>
    <s v="TRK25861469"/>
    <n v="6"/>
    <s v="WINTER15"/>
    <x v="1"/>
    <n v="826.4"/>
  </r>
  <r>
    <s v="ORD200423"/>
    <d v="2024-07-20T00:00:00"/>
    <s v="C94311"/>
    <s v="Printer"/>
    <n v="4"/>
    <n v="685.2"/>
    <s v="195 Main St"/>
    <x v="3"/>
    <s v="Cancelled"/>
    <s v="TRK97308771"/>
    <n v="6"/>
    <s v="WINTER15"/>
    <x v="4"/>
    <n v="2740.8"/>
  </r>
  <r>
    <s v="ORD200424"/>
    <d v="2023-04-12T00:00:00"/>
    <s v="C49491"/>
    <s v="Chair"/>
    <n v="5"/>
    <n v="22.94"/>
    <s v="339 Main St"/>
    <x v="4"/>
    <s v="Pending"/>
    <s v="TRK64012257"/>
    <n v="10"/>
    <m/>
    <x v="2"/>
    <n v="114.7"/>
  </r>
  <r>
    <s v="ORD200425"/>
    <d v="2023-03-09T00:00:00"/>
    <s v="C40648"/>
    <s v="Laptop"/>
    <n v="2"/>
    <n v="301.88"/>
    <s v="488 Main St"/>
    <x v="3"/>
    <s v="Returned"/>
    <s v="TRK25325993"/>
    <n v="5"/>
    <s v="WINTER15"/>
    <x v="2"/>
    <n v="603.76"/>
  </r>
  <r>
    <s v="ORD200426"/>
    <d v="2025-03-16T00:00:00"/>
    <s v="C40967"/>
    <s v="Monitor"/>
    <n v="5"/>
    <n v="57.45"/>
    <s v="315 Main St"/>
    <x v="4"/>
    <s v="Cancelled"/>
    <s v="TRK24839296"/>
    <n v="10"/>
    <m/>
    <x v="3"/>
    <n v="287.25"/>
  </r>
  <r>
    <s v="ORD200427"/>
    <d v="2024-12-18T00:00:00"/>
    <s v="C25406"/>
    <s v="Desk"/>
    <n v="1"/>
    <n v="161.24"/>
    <s v="379 Main St"/>
    <x v="2"/>
    <s v="Pending"/>
    <s v="TRK70952564"/>
    <n v="3"/>
    <s v="WINTER15"/>
    <x v="0"/>
    <n v="161.24"/>
  </r>
  <r>
    <s v="ORD200428"/>
    <d v="2024-11-26T00:00:00"/>
    <s v="C77085"/>
    <s v="Chair"/>
    <n v="4"/>
    <n v="262.58"/>
    <s v="895 Main St"/>
    <x v="1"/>
    <s v="Cancelled"/>
    <s v="TRK57227640"/>
    <n v="8"/>
    <s v="WINTER15"/>
    <x v="2"/>
    <n v="1050.32"/>
  </r>
  <r>
    <s v="ORD200429"/>
    <d v="2024-12-19T00:00:00"/>
    <s v="C38126"/>
    <s v="Printer"/>
    <n v="4"/>
    <n v="515.19000000000005"/>
    <s v="522 Main St"/>
    <x v="2"/>
    <s v="Pending"/>
    <s v="TRK90838498"/>
    <n v="9"/>
    <s v="SAVE10"/>
    <x v="3"/>
    <n v="2060.7600000000002"/>
  </r>
  <r>
    <s v="ORD200430"/>
    <d v="2023-06-07T00:00:00"/>
    <s v="C87448"/>
    <s v="Phone"/>
    <n v="1"/>
    <n v="450.07"/>
    <s v="433 Main St"/>
    <x v="3"/>
    <s v="Shipped"/>
    <s v="TRK44134016"/>
    <n v="6"/>
    <s v="FREESHIP"/>
    <x v="4"/>
    <n v="450.07"/>
  </r>
  <r>
    <s v="ORD200431"/>
    <d v="2024-10-06T00:00:00"/>
    <s v="C62312"/>
    <s v="Printer"/>
    <n v="1"/>
    <n v="52.54"/>
    <s v="651 Main St"/>
    <x v="0"/>
    <s v="Cancelled"/>
    <s v="TRK59623037"/>
    <n v="6"/>
    <s v="WINTER15"/>
    <x v="3"/>
    <n v="52.54"/>
  </r>
  <r>
    <s v="ORD200432"/>
    <d v="2023-09-04T00:00:00"/>
    <s v="C58443"/>
    <s v="Tablet"/>
    <n v="2"/>
    <n v="424.32"/>
    <s v="662 Main St"/>
    <x v="2"/>
    <s v="Returned"/>
    <s v="TRK77163738"/>
    <n v="6"/>
    <m/>
    <x v="1"/>
    <n v="848.64"/>
  </r>
  <r>
    <s v="ORD200433"/>
    <d v="2023-08-26T00:00:00"/>
    <s v="C36613"/>
    <s v="Monitor"/>
    <n v="3"/>
    <n v="631.64"/>
    <s v="785 Main St"/>
    <x v="2"/>
    <s v="Returned"/>
    <s v="TRK13282106"/>
    <n v="3"/>
    <s v="FREESHIP"/>
    <x v="3"/>
    <n v="1894.92"/>
  </r>
  <r>
    <s v="ORD200434"/>
    <d v="2023-10-22T00:00:00"/>
    <s v="C73893"/>
    <s v="Printer"/>
    <n v="5"/>
    <n v="327.68"/>
    <s v="384 Main St"/>
    <x v="2"/>
    <s v="Returned"/>
    <s v="TRK85939879"/>
    <n v="6"/>
    <m/>
    <x v="3"/>
    <n v="1638.4"/>
  </r>
  <r>
    <s v="ORD200435"/>
    <d v="2023-05-27T00:00:00"/>
    <s v="C48601"/>
    <s v="Printer"/>
    <n v="1"/>
    <n v="414.47"/>
    <s v="101 Main St"/>
    <x v="0"/>
    <s v="Returned"/>
    <s v="TRK97868309"/>
    <n v="3"/>
    <s v="FREESHIP"/>
    <x v="0"/>
    <n v="414.47"/>
  </r>
  <r>
    <s v="ORD200436"/>
    <d v="2023-02-11T00:00:00"/>
    <s v="C14568"/>
    <s v="Laptop"/>
    <n v="4"/>
    <n v="221.33"/>
    <s v="651 Main St"/>
    <x v="1"/>
    <s v="Pending"/>
    <s v="TRK73545796"/>
    <n v="5"/>
    <m/>
    <x v="4"/>
    <n v="885.32"/>
  </r>
  <r>
    <s v="ORD200437"/>
    <d v="2024-04-18T00:00:00"/>
    <s v="C63378"/>
    <s v="Phone"/>
    <n v="1"/>
    <n v="512.39"/>
    <s v="955 Main St"/>
    <x v="1"/>
    <s v="Delivered"/>
    <s v="TRK20863705"/>
    <n v="2"/>
    <s v="FREESHIP"/>
    <x v="0"/>
    <n v="512.39"/>
  </r>
  <r>
    <s v="ORD200438"/>
    <d v="2025-01-03T00:00:00"/>
    <s v="C77800"/>
    <s v="Tablet"/>
    <n v="3"/>
    <n v="459.34"/>
    <s v="436 Main St"/>
    <x v="3"/>
    <s v="Pending"/>
    <s v="TRK27439574"/>
    <n v="3"/>
    <s v="SAVE10"/>
    <x v="0"/>
    <n v="1378.02"/>
  </r>
  <r>
    <s v="ORD200439"/>
    <d v="2024-09-08T00:00:00"/>
    <s v="C91155"/>
    <s v="Tablet"/>
    <n v="1"/>
    <n v="146.32"/>
    <s v="321 Main St"/>
    <x v="1"/>
    <s v="Shipped"/>
    <s v="TRK36260319"/>
    <n v="4"/>
    <s v="WINTER15"/>
    <x v="3"/>
    <n v="146.32"/>
  </r>
  <r>
    <s v="ORD200440"/>
    <d v="2024-11-05T00:00:00"/>
    <s v="C60215"/>
    <s v="Desk"/>
    <n v="4"/>
    <n v="83.6"/>
    <s v="978 Main St"/>
    <x v="0"/>
    <s v="Pending"/>
    <s v="TRK31727767"/>
    <n v="4"/>
    <s v="SAVE10"/>
    <x v="3"/>
    <n v="334.4"/>
  </r>
  <r>
    <s v="ORD200441"/>
    <d v="2023-12-13T00:00:00"/>
    <s v="C52915"/>
    <s v="Printer"/>
    <n v="2"/>
    <n v="328.54"/>
    <s v="475 Main St"/>
    <x v="3"/>
    <s v="Returned"/>
    <s v="TRK79466982"/>
    <n v="6"/>
    <s v="FREESHIP"/>
    <x v="2"/>
    <n v="657.08"/>
  </r>
  <r>
    <s v="ORD200442"/>
    <d v="2024-05-06T00:00:00"/>
    <s v="C72588"/>
    <s v="Chair"/>
    <n v="5"/>
    <n v="314.94"/>
    <s v="661 Main St"/>
    <x v="4"/>
    <s v="Pending"/>
    <s v="TRK43410829"/>
    <n v="8"/>
    <s v="SAVE10"/>
    <x v="0"/>
    <n v="1574.7"/>
  </r>
  <r>
    <s v="ORD200443"/>
    <d v="2024-05-14T00:00:00"/>
    <s v="C61668"/>
    <s v="Chair"/>
    <n v="2"/>
    <n v="69.64"/>
    <s v="813 Main St"/>
    <x v="4"/>
    <s v="Returned"/>
    <s v="TRK58970302"/>
    <n v="6"/>
    <m/>
    <x v="3"/>
    <n v="139.28"/>
  </r>
  <r>
    <s v="ORD200444"/>
    <d v="2024-06-08T00:00:00"/>
    <s v="C79508"/>
    <s v="Printer"/>
    <n v="1"/>
    <n v="135.16999999999999"/>
    <s v="585 Main St"/>
    <x v="1"/>
    <s v="Shipped"/>
    <s v="TRK61882353"/>
    <n v="6"/>
    <s v="FREESHIP"/>
    <x v="0"/>
    <n v="135.16999999999999"/>
  </r>
  <r>
    <s v="ORD200445"/>
    <d v="2024-03-23T00:00:00"/>
    <s v="C94569"/>
    <s v="Phone"/>
    <n v="1"/>
    <n v="487.21"/>
    <s v="227 Main St"/>
    <x v="4"/>
    <s v="Delivered"/>
    <s v="TRK31351770"/>
    <n v="3"/>
    <s v="SAVE10"/>
    <x v="1"/>
    <n v="487.21"/>
  </r>
  <r>
    <s v="ORD200446"/>
    <d v="2023-10-18T00:00:00"/>
    <s v="C89592"/>
    <s v="Laptop"/>
    <n v="5"/>
    <n v="509.58"/>
    <s v="262 Main St"/>
    <x v="1"/>
    <s v="Delivered"/>
    <s v="TRK49442402"/>
    <n v="6"/>
    <s v="FREESHIP"/>
    <x v="0"/>
    <n v="2547.9"/>
  </r>
  <r>
    <s v="ORD200447"/>
    <d v="2024-04-07T00:00:00"/>
    <s v="C48207"/>
    <s v="Printer"/>
    <n v="2"/>
    <n v="416.81"/>
    <s v="356 Main St"/>
    <x v="4"/>
    <s v="Returned"/>
    <s v="TRK45355655"/>
    <n v="2"/>
    <m/>
    <x v="3"/>
    <n v="833.62"/>
  </r>
  <r>
    <s v="ORD200448"/>
    <d v="2023-09-04T00:00:00"/>
    <s v="C16776"/>
    <s v="Laptop"/>
    <n v="2"/>
    <n v="160"/>
    <s v="854 Main St"/>
    <x v="4"/>
    <s v="Pending"/>
    <s v="TRK12860600"/>
    <n v="4"/>
    <s v="SAVE10"/>
    <x v="0"/>
    <n v="320"/>
  </r>
  <r>
    <s v="ORD200449"/>
    <d v="2024-08-26T00:00:00"/>
    <s v="C91518"/>
    <s v="Tablet"/>
    <n v="3"/>
    <n v="253.05"/>
    <s v="286 Main St"/>
    <x v="1"/>
    <s v="Pending"/>
    <s v="TRK48688724"/>
    <n v="3"/>
    <m/>
    <x v="0"/>
    <n v="759.15000000000009"/>
  </r>
  <r>
    <s v="ORD200450"/>
    <d v="2024-01-15T00:00:00"/>
    <s v="C36408"/>
    <s v="Monitor"/>
    <n v="5"/>
    <n v="615.1"/>
    <s v="160 Main St"/>
    <x v="3"/>
    <s v="Returned"/>
    <s v="TRK94023253"/>
    <n v="10"/>
    <s v="WINTER15"/>
    <x v="0"/>
    <n v="3075.5"/>
  </r>
  <r>
    <s v="ORD200451"/>
    <d v="2023-04-01T00:00:00"/>
    <s v="C14837"/>
    <s v="Monitor"/>
    <n v="1"/>
    <n v="183.18"/>
    <s v="647 Main St"/>
    <x v="0"/>
    <s v="Cancelled"/>
    <s v="TRK17501136"/>
    <n v="6"/>
    <s v="SAVE10"/>
    <x v="2"/>
    <n v="183.18"/>
  </r>
  <r>
    <s v="ORD200452"/>
    <d v="2023-07-23T00:00:00"/>
    <s v="C36467"/>
    <s v="Printer"/>
    <n v="1"/>
    <n v="75.78"/>
    <s v="581 Main St"/>
    <x v="4"/>
    <s v="Pending"/>
    <s v="TRK20863987"/>
    <n v="5"/>
    <s v="SAVE10"/>
    <x v="4"/>
    <n v="75.78"/>
  </r>
  <r>
    <s v="ORD200453"/>
    <d v="2025-05-02T00:00:00"/>
    <s v="C15017"/>
    <s v="Tablet"/>
    <n v="1"/>
    <n v="675.57"/>
    <s v="492 Main St"/>
    <x v="4"/>
    <s v="Shipped"/>
    <s v="TRK51241924"/>
    <n v="1"/>
    <s v="WINTER15"/>
    <x v="3"/>
    <n v="675.57"/>
  </r>
  <r>
    <s v="ORD200454"/>
    <d v="2024-11-27T00:00:00"/>
    <s v="C54759"/>
    <s v="Laptop"/>
    <n v="1"/>
    <n v="109.29"/>
    <s v="686 Main St"/>
    <x v="0"/>
    <s v="Cancelled"/>
    <s v="TRK75583042"/>
    <n v="5"/>
    <s v="FREESHIP"/>
    <x v="4"/>
    <n v="109.29"/>
  </r>
  <r>
    <s v="ORD200455"/>
    <d v="2024-03-26T00:00:00"/>
    <s v="C58341"/>
    <s v="Phone"/>
    <n v="1"/>
    <n v="639.83000000000004"/>
    <s v="874 Main St"/>
    <x v="0"/>
    <s v="Pending"/>
    <s v="TRK32856728"/>
    <n v="2"/>
    <s v="SAVE10"/>
    <x v="1"/>
    <n v="639.83000000000004"/>
  </r>
  <r>
    <s v="ORD200456"/>
    <d v="2023-06-26T00:00:00"/>
    <s v="C94479"/>
    <s v="Desk"/>
    <n v="5"/>
    <n v="62.81"/>
    <s v="259 Main St"/>
    <x v="2"/>
    <s v="Shipped"/>
    <s v="TRK69089975"/>
    <n v="9"/>
    <s v="SAVE10"/>
    <x v="3"/>
    <n v="314.05"/>
  </r>
  <r>
    <s v="ORD200457"/>
    <d v="2025-05-25T00:00:00"/>
    <s v="C50236"/>
    <s v="Desk"/>
    <n v="4"/>
    <n v="615.83000000000004"/>
    <s v="545 Main St"/>
    <x v="1"/>
    <s v="Returned"/>
    <s v="TRK67692578"/>
    <n v="4"/>
    <s v="WINTER15"/>
    <x v="0"/>
    <n v="2463.3200000000002"/>
  </r>
  <r>
    <s v="ORD200458"/>
    <d v="2024-07-02T00:00:00"/>
    <s v="C31412"/>
    <s v="Monitor"/>
    <n v="4"/>
    <n v="510.58"/>
    <s v="196 Main St"/>
    <x v="2"/>
    <s v="Returned"/>
    <s v="TRK61946127"/>
    <n v="7"/>
    <s v="WINTER15"/>
    <x v="2"/>
    <n v="2042.32"/>
  </r>
  <r>
    <s v="ORD200459"/>
    <d v="2024-07-24T00:00:00"/>
    <s v="C90142"/>
    <s v="Desk"/>
    <n v="1"/>
    <n v="334.39"/>
    <s v="433 Main St"/>
    <x v="2"/>
    <s v="Returned"/>
    <s v="TRK39717191"/>
    <n v="2"/>
    <m/>
    <x v="0"/>
    <n v="334.39"/>
  </r>
  <r>
    <s v="ORD200460"/>
    <d v="2024-10-06T00:00:00"/>
    <s v="C83548"/>
    <s v="Laptop"/>
    <n v="1"/>
    <n v="144.25"/>
    <s v="474 Main St"/>
    <x v="4"/>
    <s v="Returned"/>
    <s v="TRK93822942"/>
    <n v="2"/>
    <s v="WINTER15"/>
    <x v="1"/>
    <n v="144.25"/>
  </r>
  <r>
    <s v="ORD200461"/>
    <d v="2024-06-08T00:00:00"/>
    <s v="C29697"/>
    <s v="Tablet"/>
    <n v="1"/>
    <n v="401.82"/>
    <s v="407 Main St"/>
    <x v="2"/>
    <s v="Shipped"/>
    <s v="TRK47776482"/>
    <n v="5"/>
    <s v="FREESHIP"/>
    <x v="4"/>
    <n v="401.82"/>
  </r>
  <r>
    <s v="ORD200462"/>
    <d v="2025-03-31T00:00:00"/>
    <s v="C22991"/>
    <s v="Phone"/>
    <n v="1"/>
    <n v="252.68"/>
    <s v="731 Main St"/>
    <x v="1"/>
    <s v="Cancelled"/>
    <s v="TRK32796086"/>
    <n v="1"/>
    <m/>
    <x v="1"/>
    <n v="252.68"/>
  </r>
  <r>
    <s v="ORD200463"/>
    <d v="2023-05-26T00:00:00"/>
    <s v="C25276"/>
    <s v="Laptop"/>
    <n v="5"/>
    <n v="662.78"/>
    <s v="214 Main St"/>
    <x v="0"/>
    <s v="Shipped"/>
    <s v="TRK14011732"/>
    <n v="9"/>
    <s v="SAVE10"/>
    <x v="0"/>
    <n v="3313.9"/>
  </r>
  <r>
    <s v="ORD200464"/>
    <d v="2023-03-14T00:00:00"/>
    <s v="C39176"/>
    <s v="Tablet"/>
    <n v="4"/>
    <n v="434.42"/>
    <s v="739 Main St"/>
    <x v="1"/>
    <s v="Cancelled"/>
    <s v="TRK71418686"/>
    <n v="6"/>
    <s v="FREESHIP"/>
    <x v="4"/>
    <n v="1737.68"/>
  </r>
  <r>
    <s v="ORD200465"/>
    <d v="2024-02-26T00:00:00"/>
    <s v="C58773"/>
    <s v="Printer"/>
    <n v="5"/>
    <n v="513.49"/>
    <s v="391 Main St"/>
    <x v="3"/>
    <s v="Cancelled"/>
    <s v="TRK65438300"/>
    <n v="8"/>
    <m/>
    <x v="4"/>
    <n v="2567.4499999999998"/>
  </r>
  <r>
    <s v="ORD200466"/>
    <d v="2023-07-18T00:00:00"/>
    <s v="C37412"/>
    <s v="Phone"/>
    <n v="1"/>
    <n v="432.47"/>
    <s v="895 Main St"/>
    <x v="4"/>
    <s v="Delivered"/>
    <s v="TRK97829604"/>
    <n v="4"/>
    <s v="FREESHIP"/>
    <x v="1"/>
    <n v="432.47"/>
  </r>
  <r>
    <s v="ORD200467"/>
    <d v="2024-08-30T00:00:00"/>
    <s v="C36492"/>
    <s v="Desk"/>
    <n v="1"/>
    <n v="45.94"/>
    <s v="572 Main St"/>
    <x v="4"/>
    <s v="Cancelled"/>
    <s v="TRK44350440"/>
    <n v="2"/>
    <s v="WINTER15"/>
    <x v="2"/>
    <n v="45.94"/>
  </r>
  <r>
    <s v="ORD200468"/>
    <d v="2025-06-21T00:00:00"/>
    <s v="C90110"/>
    <s v="Phone"/>
    <n v="1"/>
    <n v="418.36"/>
    <s v="998 Main St"/>
    <x v="2"/>
    <s v="Delivered"/>
    <s v="TRK60203957"/>
    <n v="5"/>
    <s v="FREESHIP"/>
    <x v="2"/>
    <n v="418.36"/>
  </r>
  <r>
    <s v="ORD200469"/>
    <d v="2023-11-26T00:00:00"/>
    <s v="C13877"/>
    <s v="Chair"/>
    <n v="5"/>
    <n v="676.98"/>
    <s v="893 Main St"/>
    <x v="4"/>
    <s v="Cancelled"/>
    <s v="TRK17254691"/>
    <n v="5"/>
    <m/>
    <x v="3"/>
    <n v="3384.9"/>
  </r>
  <r>
    <s v="ORD200470"/>
    <d v="2023-09-29T00:00:00"/>
    <s v="C25149"/>
    <s v="Tablet"/>
    <n v="4"/>
    <n v="263.62"/>
    <s v="672 Main St"/>
    <x v="4"/>
    <s v="Shipped"/>
    <s v="TRK33538608"/>
    <n v="5"/>
    <s v="SAVE10"/>
    <x v="2"/>
    <n v="1054.48"/>
  </r>
  <r>
    <s v="ORD200471"/>
    <d v="2025-04-19T00:00:00"/>
    <s v="C52717"/>
    <s v="Desk"/>
    <n v="5"/>
    <n v="551.27"/>
    <s v="395 Main St"/>
    <x v="1"/>
    <s v="Cancelled"/>
    <s v="TRK27625571"/>
    <n v="7"/>
    <s v="FREESHIP"/>
    <x v="1"/>
    <n v="2756.35"/>
  </r>
  <r>
    <s v="ORD200472"/>
    <d v="2023-01-06T00:00:00"/>
    <s v="C60029"/>
    <s v="Chair"/>
    <n v="3"/>
    <n v="508.12"/>
    <s v="796 Main St"/>
    <x v="2"/>
    <s v="Cancelled"/>
    <s v="TRK86461316"/>
    <n v="8"/>
    <s v="FREESHIP"/>
    <x v="1"/>
    <n v="1524.36"/>
  </r>
  <r>
    <s v="ORD200473"/>
    <d v="2025-02-25T00:00:00"/>
    <s v="C28552"/>
    <s v="Chair"/>
    <n v="2"/>
    <n v="14.93"/>
    <s v="449 Main St"/>
    <x v="1"/>
    <s v="Shipped"/>
    <s v="TRK71597160"/>
    <n v="4"/>
    <m/>
    <x v="3"/>
    <n v="29.86"/>
  </r>
  <r>
    <s v="ORD200474"/>
    <d v="2023-11-15T00:00:00"/>
    <s v="C72293"/>
    <s v="Printer"/>
    <n v="3"/>
    <n v="229.34"/>
    <s v="398 Main St"/>
    <x v="2"/>
    <s v="Shipped"/>
    <s v="TRK84378003"/>
    <n v="6"/>
    <s v="SAVE10"/>
    <x v="1"/>
    <n v="688.02"/>
  </r>
  <r>
    <s v="ORD200475"/>
    <d v="2025-04-19T00:00:00"/>
    <s v="C29844"/>
    <s v="Tablet"/>
    <n v="2"/>
    <n v="438.62"/>
    <s v="363 Main St"/>
    <x v="4"/>
    <s v="Cancelled"/>
    <s v="TRK91642337"/>
    <n v="3"/>
    <s v="SAVE10"/>
    <x v="3"/>
    <n v="877.24"/>
  </r>
  <r>
    <s v="ORD200476"/>
    <d v="2024-01-15T00:00:00"/>
    <s v="C77872"/>
    <s v="Phone"/>
    <n v="2"/>
    <n v="513.59"/>
    <s v="867 Main St"/>
    <x v="1"/>
    <s v="Returned"/>
    <s v="TRK19292184"/>
    <n v="4"/>
    <s v="FREESHIP"/>
    <x v="1"/>
    <n v="1027.18"/>
  </r>
  <r>
    <s v="ORD200477"/>
    <d v="2025-03-05T00:00:00"/>
    <s v="C56564"/>
    <s v="Phone"/>
    <n v="2"/>
    <n v="253.74"/>
    <s v="481 Main St"/>
    <x v="1"/>
    <s v="Shipped"/>
    <s v="TRK13166044"/>
    <n v="5"/>
    <s v="SAVE10"/>
    <x v="4"/>
    <n v="507.48"/>
  </r>
  <r>
    <s v="ORD200478"/>
    <d v="2024-11-01T00:00:00"/>
    <s v="C16758"/>
    <s v="Tablet"/>
    <n v="3"/>
    <n v="62.77"/>
    <s v="914 Main St"/>
    <x v="3"/>
    <s v="Shipped"/>
    <s v="TRK88544431"/>
    <n v="6"/>
    <s v="FREESHIP"/>
    <x v="1"/>
    <n v="188.31"/>
  </r>
  <r>
    <s v="ORD200479"/>
    <d v="2023-02-18T00:00:00"/>
    <s v="C87011"/>
    <s v="Monitor"/>
    <n v="4"/>
    <n v="25.29"/>
    <s v="943 Main St"/>
    <x v="2"/>
    <s v="Pending"/>
    <s v="TRK21429162"/>
    <n v="8"/>
    <m/>
    <x v="4"/>
    <n v="101.16"/>
  </r>
  <r>
    <s v="ORD200480"/>
    <d v="2023-06-16T00:00:00"/>
    <s v="C21147"/>
    <s v="Chair"/>
    <n v="1"/>
    <n v="335.1"/>
    <s v="126 Main St"/>
    <x v="0"/>
    <s v="Pending"/>
    <s v="TRK93171043"/>
    <n v="6"/>
    <s v="FREESHIP"/>
    <x v="1"/>
    <n v="335.1"/>
  </r>
  <r>
    <s v="ORD200481"/>
    <d v="2023-04-23T00:00:00"/>
    <s v="C94568"/>
    <s v="Laptop"/>
    <n v="4"/>
    <n v="484.85"/>
    <s v="317 Main St"/>
    <x v="0"/>
    <s v="Delivered"/>
    <s v="TRK58653915"/>
    <n v="5"/>
    <s v="WINTER15"/>
    <x v="1"/>
    <n v="1939.4"/>
  </r>
  <r>
    <s v="ORD200482"/>
    <d v="2025-03-02T00:00:00"/>
    <s v="C35852"/>
    <s v="Monitor"/>
    <n v="3"/>
    <n v="381.41"/>
    <s v="989 Main St"/>
    <x v="1"/>
    <s v="Pending"/>
    <s v="TRK22302049"/>
    <n v="6"/>
    <m/>
    <x v="0"/>
    <n v="1144.23"/>
  </r>
  <r>
    <s v="ORD200483"/>
    <d v="2023-01-18T00:00:00"/>
    <s v="C66462"/>
    <s v="Phone"/>
    <n v="5"/>
    <n v="347.92"/>
    <s v="982 Main St"/>
    <x v="4"/>
    <s v="Pending"/>
    <s v="TRK52743700"/>
    <n v="6"/>
    <s v="WINTER15"/>
    <x v="4"/>
    <n v="1739.6"/>
  </r>
  <r>
    <s v="ORD200484"/>
    <d v="2024-05-29T00:00:00"/>
    <s v="C29092"/>
    <s v="Chair"/>
    <n v="4"/>
    <n v="15.01"/>
    <s v="767 Main St"/>
    <x v="4"/>
    <s v="Cancelled"/>
    <s v="TRK90455340"/>
    <n v="6"/>
    <m/>
    <x v="3"/>
    <n v="60.04"/>
  </r>
  <r>
    <s v="ORD200485"/>
    <d v="2023-08-01T00:00:00"/>
    <s v="C46651"/>
    <s v="Chair"/>
    <n v="3"/>
    <n v="404.79"/>
    <s v="764 Main St"/>
    <x v="4"/>
    <s v="Shipped"/>
    <s v="TRK67679195"/>
    <n v="6"/>
    <s v="SAVE10"/>
    <x v="0"/>
    <n v="1214.3699999999999"/>
  </r>
  <r>
    <s v="ORD200486"/>
    <d v="2023-02-03T00:00:00"/>
    <s v="C88981"/>
    <s v="Printer"/>
    <n v="4"/>
    <n v="611.26"/>
    <s v="558 Main St"/>
    <x v="4"/>
    <s v="Shipped"/>
    <s v="TRK75267873"/>
    <n v="5"/>
    <s v="SAVE10"/>
    <x v="1"/>
    <n v="2445.04"/>
  </r>
  <r>
    <s v="ORD200487"/>
    <d v="2023-03-09T00:00:00"/>
    <s v="C40136"/>
    <s v="Printer"/>
    <n v="3"/>
    <n v="346.52"/>
    <s v="211 Main St"/>
    <x v="2"/>
    <s v="Pending"/>
    <s v="TRK92924852"/>
    <n v="3"/>
    <s v="SAVE10"/>
    <x v="4"/>
    <n v="1039.56"/>
  </r>
  <r>
    <s v="ORD200488"/>
    <d v="2024-12-05T00:00:00"/>
    <s v="C81573"/>
    <s v="Chair"/>
    <n v="1"/>
    <n v="36.65"/>
    <s v="556 Main St"/>
    <x v="1"/>
    <s v="Cancelled"/>
    <s v="TRK96522994"/>
    <n v="1"/>
    <s v="WINTER15"/>
    <x v="2"/>
    <n v="36.65"/>
  </r>
  <r>
    <s v="ORD200489"/>
    <d v="2023-09-05T00:00:00"/>
    <s v="C11940"/>
    <s v="Tablet"/>
    <n v="3"/>
    <n v="149.34"/>
    <s v="589 Main St"/>
    <x v="3"/>
    <s v="Cancelled"/>
    <s v="TRK85466461"/>
    <n v="7"/>
    <s v="WINTER15"/>
    <x v="2"/>
    <n v="448.02"/>
  </r>
  <r>
    <s v="ORD200490"/>
    <d v="2024-07-22T00:00:00"/>
    <s v="C50097"/>
    <s v="Chair"/>
    <n v="5"/>
    <n v="467.81"/>
    <s v="539 Main St"/>
    <x v="1"/>
    <s v="Cancelled"/>
    <s v="TRK62785150"/>
    <n v="10"/>
    <m/>
    <x v="3"/>
    <n v="2339.0500000000002"/>
  </r>
  <r>
    <s v="ORD200491"/>
    <d v="2023-01-05T00:00:00"/>
    <s v="C98168"/>
    <s v="Phone"/>
    <n v="5"/>
    <n v="420.7"/>
    <s v="481 Main St"/>
    <x v="4"/>
    <s v="Pending"/>
    <s v="TRK56423359"/>
    <n v="5"/>
    <s v="WINTER15"/>
    <x v="3"/>
    <n v="2103.5"/>
  </r>
  <r>
    <s v="ORD200492"/>
    <d v="2023-10-25T00:00:00"/>
    <s v="C39074"/>
    <s v="Laptop"/>
    <n v="5"/>
    <n v="606.52"/>
    <s v="103 Main St"/>
    <x v="0"/>
    <s v="Shipped"/>
    <s v="TRK13027036"/>
    <n v="6"/>
    <s v="SAVE10"/>
    <x v="0"/>
    <n v="3032.6"/>
  </r>
  <r>
    <s v="ORD200493"/>
    <d v="2025-01-28T00:00:00"/>
    <s v="C84908"/>
    <s v="Phone"/>
    <n v="1"/>
    <n v="420.26"/>
    <s v="372 Main St"/>
    <x v="2"/>
    <s v="Pending"/>
    <s v="TRK64135970"/>
    <n v="4"/>
    <s v="FREESHIP"/>
    <x v="3"/>
    <n v="420.26"/>
  </r>
  <r>
    <s v="ORD200494"/>
    <d v="2023-07-19T00:00:00"/>
    <s v="C64516"/>
    <s v="Laptop"/>
    <n v="3"/>
    <n v="505.79"/>
    <s v="459 Main St"/>
    <x v="0"/>
    <s v="Pending"/>
    <s v="TRK63920573"/>
    <n v="3"/>
    <s v="FREESHIP"/>
    <x v="1"/>
    <n v="1517.37"/>
  </r>
  <r>
    <s v="ORD200495"/>
    <d v="2025-06-05T00:00:00"/>
    <s v="C63827"/>
    <s v="Phone"/>
    <n v="4"/>
    <n v="493.73"/>
    <s v="947 Main St"/>
    <x v="0"/>
    <s v="Pending"/>
    <s v="TRK35730581"/>
    <n v="6"/>
    <s v="SAVE10"/>
    <x v="3"/>
    <n v="1974.92"/>
  </r>
  <r>
    <s v="ORD200496"/>
    <d v="2025-03-14T00:00:00"/>
    <s v="C93618"/>
    <s v="Printer"/>
    <n v="3"/>
    <n v="201.21"/>
    <s v="249 Main St"/>
    <x v="1"/>
    <s v="Cancelled"/>
    <s v="TRK66129326"/>
    <n v="3"/>
    <s v="SAVE10"/>
    <x v="4"/>
    <n v="603.63"/>
  </r>
  <r>
    <s v="ORD200497"/>
    <d v="2024-10-24T00:00:00"/>
    <s v="C93948"/>
    <s v="Printer"/>
    <n v="3"/>
    <n v="112.29"/>
    <s v="454 Main St"/>
    <x v="3"/>
    <s v="Shipped"/>
    <s v="TRK77358113"/>
    <n v="6"/>
    <m/>
    <x v="4"/>
    <n v="336.87"/>
  </r>
  <r>
    <s v="ORD200498"/>
    <d v="2023-07-12T00:00:00"/>
    <s v="C73961"/>
    <s v="Tablet"/>
    <n v="4"/>
    <n v="132.56"/>
    <s v="306 Main St"/>
    <x v="4"/>
    <s v="Returned"/>
    <s v="TRK32607173"/>
    <n v="8"/>
    <s v="WINTER15"/>
    <x v="0"/>
    <n v="530.24"/>
  </r>
  <r>
    <s v="ORD200499"/>
    <d v="2023-04-06T00:00:00"/>
    <s v="C18138"/>
    <s v="Printer"/>
    <n v="3"/>
    <n v="539.46"/>
    <s v="520 Main St"/>
    <x v="2"/>
    <s v="Shipped"/>
    <s v="TRK20289483"/>
    <n v="4"/>
    <s v="SAVE10"/>
    <x v="3"/>
    <n v="1618.38"/>
  </r>
  <r>
    <s v="ORD200500"/>
    <d v="2024-04-07T00:00:00"/>
    <s v="C79475"/>
    <s v="Laptop"/>
    <n v="5"/>
    <n v="508.59"/>
    <s v="169 Main St"/>
    <x v="4"/>
    <s v="Returned"/>
    <s v="TRK42168516"/>
    <n v="8"/>
    <s v="WINTER15"/>
    <x v="3"/>
    <n v="2542.9499999999998"/>
  </r>
  <r>
    <s v="ORD200501"/>
    <d v="2024-02-04T00:00:00"/>
    <s v="C88546"/>
    <s v="Desk"/>
    <n v="4"/>
    <n v="203.46"/>
    <s v="226 Main St"/>
    <x v="2"/>
    <s v="Pending"/>
    <s v="TRK19867754"/>
    <n v="7"/>
    <s v="SAVE10"/>
    <x v="1"/>
    <n v="813.84"/>
  </r>
  <r>
    <s v="ORD200502"/>
    <d v="2023-05-20T00:00:00"/>
    <s v="C69332"/>
    <s v="Monitor"/>
    <n v="3"/>
    <n v="565.25"/>
    <s v="745 Main St"/>
    <x v="0"/>
    <s v="Returned"/>
    <s v="TRK65718848"/>
    <n v="7"/>
    <s v="SAVE10"/>
    <x v="2"/>
    <n v="1695.75"/>
  </r>
  <r>
    <s v="ORD200503"/>
    <d v="2023-08-31T00:00:00"/>
    <s v="C64554"/>
    <s v="Tablet"/>
    <n v="3"/>
    <n v="136.84"/>
    <s v="498 Main St"/>
    <x v="1"/>
    <s v="Pending"/>
    <s v="TRK95384568"/>
    <n v="4"/>
    <s v="FREESHIP"/>
    <x v="3"/>
    <n v="410.52"/>
  </r>
  <r>
    <s v="ORD200504"/>
    <d v="2025-06-11T00:00:00"/>
    <s v="C11676"/>
    <s v="Monitor"/>
    <n v="2"/>
    <n v="464.5"/>
    <s v="805 Main St"/>
    <x v="1"/>
    <s v="Cancelled"/>
    <s v="TRK35726395"/>
    <n v="2"/>
    <s v="WINTER15"/>
    <x v="0"/>
    <n v="929"/>
  </r>
  <r>
    <s v="ORD200505"/>
    <d v="2023-06-11T00:00:00"/>
    <s v="C36014"/>
    <s v="Printer"/>
    <n v="2"/>
    <n v="434.97"/>
    <s v="558 Main St"/>
    <x v="1"/>
    <s v="Shipped"/>
    <s v="TRK97246526"/>
    <n v="7"/>
    <m/>
    <x v="2"/>
    <n v="869.94"/>
  </r>
  <r>
    <s v="ORD200506"/>
    <d v="2023-07-25T00:00:00"/>
    <s v="C23279"/>
    <s v="Monitor"/>
    <n v="2"/>
    <n v="43.67"/>
    <s v="696 Main St"/>
    <x v="4"/>
    <s v="Returned"/>
    <s v="TRK58039693"/>
    <n v="4"/>
    <s v="WINTER15"/>
    <x v="0"/>
    <n v="87.34"/>
  </r>
  <r>
    <s v="ORD200507"/>
    <d v="2023-07-05T00:00:00"/>
    <s v="C86481"/>
    <s v="Phone"/>
    <n v="1"/>
    <n v="171.59"/>
    <s v="546 Main St"/>
    <x v="2"/>
    <s v="Pending"/>
    <s v="TRK87513944"/>
    <n v="5"/>
    <s v="WINTER15"/>
    <x v="2"/>
    <n v="171.59"/>
  </r>
  <r>
    <s v="ORD200508"/>
    <d v="2025-05-14T00:00:00"/>
    <s v="C39550"/>
    <s v="Phone"/>
    <n v="1"/>
    <n v="558.27"/>
    <s v="976 Main St"/>
    <x v="1"/>
    <s v="Delivered"/>
    <s v="TRK24120267"/>
    <n v="1"/>
    <m/>
    <x v="1"/>
    <n v="558.27"/>
  </r>
  <r>
    <s v="ORD200509"/>
    <d v="2023-02-15T00:00:00"/>
    <s v="C68937"/>
    <s v="Laptop"/>
    <n v="2"/>
    <n v="425.03"/>
    <s v="560 Main St"/>
    <x v="4"/>
    <s v="Returned"/>
    <s v="TRK31908657"/>
    <n v="2"/>
    <s v="WINTER15"/>
    <x v="4"/>
    <n v="850.06"/>
  </r>
  <r>
    <s v="ORD200510"/>
    <d v="2024-12-16T00:00:00"/>
    <s v="C72533"/>
    <s v="Printer"/>
    <n v="1"/>
    <n v="376.76"/>
    <s v="389 Main St"/>
    <x v="0"/>
    <s v="Delivered"/>
    <s v="TRK51288986"/>
    <n v="5"/>
    <s v="SAVE10"/>
    <x v="2"/>
    <n v="376.76"/>
  </r>
  <r>
    <s v="ORD200511"/>
    <d v="2024-03-15T00:00:00"/>
    <s v="C11415"/>
    <s v="Monitor"/>
    <n v="5"/>
    <n v="575.24"/>
    <s v="267 Main St"/>
    <x v="4"/>
    <s v="Delivered"/>
    <s v="TRK65061457"/>
    <n v="7"/>
    <s v="WINTER15"/>
    <x v="2"/>
    <n v="2876.2"/>
  </r>
  <r>
    <s v="ORD200512"/>
    <d v="2024-09-27T00:00:00"/>
    <s v="C14114"/>
    <s v="Desk"/>
    <n v="3"/>
    <n v="568.02"/>
    <s v="856 Main St"/>
    <x v="1"/>
    <s v="Pending"/>
    <s v="TRK63290700"/>
    <n v="3"/>
    <s v="FREESHIP"/>
    <x v="0"/>
    <n v="1704.06"/>
  </r>
  <r>
    <s v="ORD200513"/>
    <d v="2025-02-09T00:00:00"/>
    <s v="C64128"/>
    <s v="Tablet"/>
    <n v="3"/>
    <n v="94.88"/>
    <s v="533 Main St"/>
    <x v="3"/>
    <s v="Shipped"/>
    <s v="TRK37053575"/>
    <n v="8"/>
    <m/>
    <x v="1"/>
    <n v="284.64"/>
  </r>
  <r>
    <s v="ORD200514"/>
    <d v="2023-04-16T00:00:00"/>
    <s v="C15629"/>
    <s v="Printer"/>
    <n v="3"/>
    <n v="304.14999999999998"/>
    <s v="492 Main St"/>
    <x v="3"/>
    <s v="Shipped"/>
    <s v="TRK64926044"/>
    <n v="3"/>
    <s v="WINTER15"/>
    <x v="0"/>
    <n v="912.44999999999993"/>
  </r>
  <r>
    <s v="ORD200515"/>
    <d v="2023-03-14T00:00:00"/>
    <s v="C67561"/>
    <s v="Phone"/>
    <n v="3"/>
    <n v="553.52"/>
    <s v="160 Main St"/>
    <x v="3"/>
    <s v="Shipped"/>
    <s v="TRK75900717"/>
    <n v="4"/>
    <s v="FREESHIP"/>
    <x v="3"/>
    <n v="1660.56"/>
  </r>
  <r>
    <s v="ORD200516"/>
    <d v="2024-04-07T00:00:00"/>
    <s v="C47022"/>
    <s v="Monitor"/>
    <n v="3"/>
    <n v="166.99"/>
    <s v="208 Main St"/>
    <x v="4"/>
    <s v="Returned"/>
    <s v="TRK28855040"/>
    <n v="8"/>
    <m/>
    <x v="3"/>
    <n v="500.97"/>
  </r>
  <r>
    <s v="ORD200517"/>
    <d v="2024-04-09T00:00:00"/>
    <s v="C55205"/>
    <s v="Tablet"/>
    <n v="4"/>
    <n v="198.35"/>
    <s v="943 Main St"/>
    <x v="4"/>
    <s v="Cancelled"/>
    <s v="TRK88141634"/>
    <n v="7"/>
    <s v="FREESHIP"/>
    <x v="4"/>
    <n v="793.4"/>
  </r>
  <r>
    <s v="ORD200518"/>
    <d v="2025-06-13T00:00:00"/>
    <s v="C30686"/>
    <s v="Printer"/>
    <n v="4"/>
    <n v="403.58"/>
    <s v="319 Main St"/>
    <x v="1"/>
    <s v="Pending"/>
    <s v="TRK59807273"/>
    <n v="9"/>
    <s v="SAVE10"/>
    <x v="1"/>
    <n v="1614.32"/>
  </r>
  <r>
    <s v="ORD200519"/>
    <d v="2025-05-10T00:00:00"/>
    <s v="C71797"/>
    <s v="Laptop"/>
    <n v="4"/>
    <n v="464.29"/>
    <s v="941 Main St"/>
    <x v="0"/>
    <s v="Returned"/>
    <s v="TRK66010667"/>
    <n v="5"/>
    <s v="SAVE10"/>
    <x v="2"/>
    <n v="1857.16"/>
  </r>
  <r>
    <s v="ORD200520"/>
    <d v="2023-03-10T00:00:00"/>
    <s v="C66332"/>
    <s v="Monitor"/>
    <n v="3"/>
    <n v="635.98"/>
    <s v="959 Main St"/>
    <x v="4"/>
    <s v="Returned"/>
    <s v="TRK27063398"/>
    <n v="5"/>
    <m/>
    <x v="1"/>
    <n v="1907.94"/>
  </r>
  <r>
    <s v="ORD200521"/>
    <d v="2024-02-25T00:00:00"/>
    <s v="C82318"/>
    <s v="Phone"/>
    <n v="1"/>
    <n v="528.05999999999995"/>
    <s v="991 Main St"/>
    <x v="2"/>
    <s v="Shipped"/>
    <s v="TRK37534165"/>
    <n v="2"/>
    <m/>
    <x v="3"/>
    <n v="528.05999999999995"/>
  </r>
  <r>
    <s v="ORD200522"/>
    <d v="2024-04-20T00:00:00"/>
    <s v="C66254"/>
    <s v="Chair"/>
    <n v="1"/>
    <n v="515.32000000000005"/>
    <s v="740 Main St"/>
    <x v="3"/>
    <s v="Cancelled"/>
    <s v="TRK82843861"/>
    <n v="1"/>
    <s v="FREESHIP"/>
    <x v="2"/>
    <n v="515.32000000000005"/>
  </r>
  <r>
    <s v="ORD200523"/>
    <d v="2025-02-18T00:00:00"/>
    <s v="C65083"/>
    <s v="Desk"/>
    <n v="4"/>
    <n v="657.79"/>
    <s v="652 Main St"/>
    <x v="2"/>
    <s v="Returned"/>
    <s v="TRK60937148"/>
    <n v="6"/>
    <s v="WINTER15"/>
    <x v="4"/>
    <n v="2631.16"/>
  </r>
  <r>
    <s v="ORD200524"/>
    <d v="2023-10-25T00:00:00"/>
    <s v="C44778"/>
    <s v="Phone"/>
    <n v="1"/>
    <n v="153"/>
    <s v="103 Main St"/>
    <x v="2"/>
    <s v="Returned"/>
    <s v="TRK92617366"/>
    <n v="4"/>
    <m/>
    <x v="1"/>
    <n v="153"/>
  </r>
  <r>
    <s v="ORD200525"/>
    <d v="2023-12-03T00:00:00"/>
    <s v="C54499"/>
    <s v="Monitor"/>
    <n v="1"/>
    <n v="668.48"/>
    <s v="160 Main St"/>
    <x v="0"/>
    <s v="Shipped"/>
    <s v="TRK18061555"/>
    <n v="1"/>
    <s v="SAVE10"/>
    <x v="2"/>
    <n v="668.48"/>
  </r>
  <r>
    <s v="ORD200526"/>
    <d v="2024-02-29T00:00:00"/>
    <s v="C91201"/>
    <s v="Desk"/>
    <n v="2"/>
    <n v="46.5"/>
    <s v="837 Main St"/>
    <x v="4"/>
    <s v="Returned"/>
    <s v="TRK63526023"/>
    <n v="7"/>
    <s v="WINTER15"/>
    <x v="4"/>
    <n v="93"/>
  </r>
  <r>
    <s v="ORD200527"/>
    <d v="2024-08-19T00:00:00"/>
    <s v="C27202"/>
    <s v="Chair"/>
    <n v="5"/>
    <n v="653.47"/>
    <s v="967 Main St"/>
    <x v="2"/>
    <s v="Cancelled"/>
    <s v="TRK75406128"/>
    <n v="10"/>
    <s v="SAVE10"/>
    <x v="1"/>
    <n v="3267.35"/>
  </r>
  <r>
    <s v="ORD200528"/>
    <d v="2025-02-26T00:00:00"/>
    <s v="C32011"/>
    <s v="Chair"/>
    <n v="1"/>
    <n v="628.89"/>
    <s v="686 Main St"/>
    <x v="2"/>
    <s v="Returned"/>
    <s v="TRK70997744"/>
    <n v="2"/>
    <s v="SAVE10"/>
    <x v="1"/>
    <n v="628.89"/>
  </r>
  <r>
    <s v="ORD200529"/>
    <d v="2024-04-07T00:00:00"/>
    <s v="C21181"/>
    <s v="Tablet"/>
    <n v="2"/>
    <n v="675.1"/>
    <s v="938 Main St"/>
    <x v="4"/>
    <s v="Pending"/>
    <s v="TRK50363421"/>
    <n v="4"/>
    <s v="FREESHIP"/>
    <x v="4"/>
    <n v="1350.2"/>
  </r>
  <r>
    <s v="ORD200530"/>
    <d v="2024-07-18T00:00:00"/>
    <s v="C98450"/>
    <s v="Chair"/>
    <n v="4"/>
    <n v="89.41"/>
    <s v="613 Main St"/>
    <x v="1"/>
    <s v="Pending"/>
    <s v="TRK14809530"/>
    <n v="9"/>
    <m/>
    <x v="4"/>
    <n v="357.64"/>
  </r>
  <r>
    <s v="ORD200531"/>
    <d v="2024-07-02T00:00:00"/>
    <s v="C64502"/>
    <s v="Desk"/>
    <n v="5"/>
    <n v="320.01"/>
    <s v="722 Main St"/>
    <x v="3"/>
    <s v="Delivered"/>
    <s v="TRK14914388"/>
    <n v="6"/>
    <m/>
    <x v="1"/>
    <n v="1600.05"/>
  </r>
  <r>
    <s v="ORD200532"/>
    <d v="2025-05-03T00:00:00"/>
    <s v="C47365"/>
    <s v="Laptop"/>
    <n v="2"/>
    <n v="41"/>
    <s v="369 Main St"/>
    <x v="1"/>
    <s v="Delivered"/>
    <s v="TRK42207882"/>
    <n v="7"/>
    <m/>
    <x v="2"/>
    <n v="82"/>
  </r>
  <r>
    <s v="ORD200533"/>
    <d v="2023-03-05T00:00:00"/>
    <s v="C66349"/>
    <s v="Desk"/>
    <n v="1"/>
    <n v="565.85"/>
    <s v="715 Main St"/>
    <x v="3"/>
    <s v="Returned"/>
    <s v="TRK63550793"/>
    <n v="1"/>
    <s v="FREESHIP"/>
    <x v="3"/>
    <n v="565.85"/>
  </r>
  <r>
    <s v="ORD200534"/>
    <d v="2024-06-06T00:00:00"/>
    <s v="C73289"/>
    <s v="Chair"/>
    <n v="3"/>
    <n v="648.59"/>
    <s v="906 Main St"/>
    <x v="0"/>
    <s v="Cancelled"/>
    <s v="TRK70872738"/>
    <n v="4"/>
    <s v="SAVE10"/>
    <x v="2"/>
    <n v="1945.77"/>
  </r>
  <r>
    <s v="ORD200535"/>
    <d v="2024-07-24T00:00:00"/>
    <s v="C48649"/>
    <s v="Monitor"/>
    <n v="3"/>
    <n v="68.12"/>
    <s v="332 Main St"/>
    <x v="1"/>
    <s v="Cancelled"/>
    <s v="TRK45821445"/>
    <n v="3"/>
    <s v="FREESHIP"/>
    <x v="2"/>
    <n v="204.36"/>
  </r>
  <r>
    <s v="ORD200536"/>
    <d v="2024-06-09T00:00:00"/>
    <s v="C18724"/>
    <s v="Chair"/>
    <n v="1"/>
    <n v="616.1"/>
    <s v="124 Main St"/>
    <x v="4"/>
    <s v="Returned"/>
    <s v="TRK52508861"/>
    <n v="6"/>
    <m/>
    <x v="2"/>
    <n v="616.1"/>
  </r>
  <r>
    <s v="ORD200537"/>
    <d v="2025-03-23T00:00:00"/>
    <s v="C68553"/>
    <s v="Tablet"/>
    <n v="3"/>
    <n v="247.47"/>
    <s v="385 Main St"/>
    <x v="1"/>
    <s v="Delivered"/>
    <s v="TRK58218971"/>
    <n v="4"/>
    <s v="SAVE10"/>
    <x v="3"/>
    <n v="742.41"/>
  </r>
  <r>
    <s v="ORD200538"/>
    <d v="2024-05-24T00:00:00"/>
    <s v="C61280"/>
    <s v="Phone"/>
    <n v="3"/>
    <n v="490.74"/>
    <s v="100 Main St"/>
    <x v="4"/>
    <s v="Shipped"/>
    <s v="TRK95487711"/>
    <n v="3"/>
    <s v="WINTER15"/>
    <x v="2"/>
    <n v="1472.22"/>
  </r>
  <r>
    <s v="ORD200539"/>
    <d v="2025-02-18T00:00:00"/>
    <s v="C53277"/>
    <s v="Desk"/>
    <n v="3"/>
    <n v="531.72"/>
    <s v="473 Main St"/>
    <x v="3"/>
    <s v="Delivered"/>
    <s v="TRK17653832"/>
    <n v="7"/>
    <s v="SAVE10"/>
    <x v="4"/>
    <n v="1595.16"/>
  </r>
  <r>
    <s v="ORD200540"/>
    <d v="2024-01-29T00:00:00"/>
    <s v="C87281"/>
    <s v="Laptop"/>
    <n v="5"/>
    <n v="648.65"/>
    <s v="852 Main St"/>
    <x v="1"/>
    <s v="Pending"/>
    <s v="TRK81765057"/>
    <n v="7"/>
    <m/>
    <x v="1"/>
    <n v="3243.25"/>
  </r>
  <r>
    <s v="ORD200541"/>
    <d v="2023-08-07T00:00:00"/>
    <s v="C69009"/>
    <s v="Printer"/>
    <n v="5"/>
    <n v="456.06"/>
    <s v="879 Main St"/>
    <x v="4"/>
    <s v="Pending"/>
    <s v="TRK61295842"/>
    <n v="10"/>
    <m/>
    <x v="0"/>
    <n v="2280.3000000000002"/>
  </r>
  <r>
    <s v="ORD200542"/>
    <d v="2023-11-14T00:00:00"/>
    <s v="C49726"/>
    <s v="Tablet"/>
    <n v="1"/>
    <n v="17.98"/>
    <s v="934 Main St"/>
    <x v="4"/>
    <s v="Cancelled"/>
    <s v="TRK20739460"/>
    <n v="6"/>
    <s v="FREESHIP"/>
    <x v="2"/>
    <n v="17.98"/>
  </r>
  <r>
    <s v="ORD200543"/>
    <d v="2024-03-09T00:00:00"/>
    <s v="C37531"/>
    <s v="Desk"/>
    <n v="5"/>
    <n v="269.86"/>
    <s v="354 Main St"/>
    <x v="4"/>
    <s v="Shipped"/>
    <s v="TRK93877673"/>
    <n v="6"/>
    <s v="WINTER15"/>
    <x v="3"/>
    <n v="1349.3"/>
  </r>
  <r>
    <s v="ORD200544"/>
    <d v="2024-03-10T00:00:00"/>
    <s v="C48713"/>
    <s v="Printer"/>
    <n v="5"/>
    <n v="31.96"/>
    <s v="373 Main St"/>
    <x v="2"/>
    <s v="Returned"/>
    <s v="TRK96334419"/>
    <n v="5"/>
    <s v="FREESHIP"/>
    <x v="1"/>
    <n v="159.80000000000001"/>
  </r>
  <r>
    <s v="ORD200545"/>
    <d v="2023-12-19T00:00:00"/>
    <s v="C74138"/>
    <s v="Monitor"/>
    <n v="2"/>
    <n v="98.47"/>
    <s v="964 Main St"/>
    <x v="4"/>
    <s v="Returned"/>
    <s v="TRK74091695"/>
    <n v="3"/>
    <m/>
    <x v="0"/>
    <n v="196.94"/>
  </r>
  <r>
    <s v="ORD200546"/>
    <d v="2024-03-01T00:00:00"/>
    <s v="C82399"/>
    <s v="Monitor"/>
    <n v="1"/>
    <n v="158.68"/>
    <s v="928 Main St"/>
    <x v="2"/>
    <s v="Returned"/>
    <s v="TRK77177284"/>
    <n v="6"/>
    <s v="WINTER15"/>
    <x v="0"/>
    <n v="158.68"/>
  </r>
  <r>
    <s v="ORD200547"/>
    <d v="2023-08-20T00:00:00"/>
    <s v="C40427"/>
    <s v="Phone"/>
    <n v="1"/>
    <n v="613.98"/>
    <s v="411 Main St"/>
    <x v="1"/>
    <s v="Delivered"/>
    <s v="TRK25392280"/>
    <n v="4"/>
    <s v="FREESHIP"/>
    <x v="3"/>
    <n v="613.98"/>
  </r>
  <r>
    <s v="ORD200548"/>
    <d v="2024-01-05T00:00:00"/>
    <s v="C17103"/>
    <s v="Printer"/>
    <n v="3"/>
    <n v="426.12"/>
    <s v="922 Main St"/>
    <x v="1"/>
    <s v="Delivered"/>
    <s v="TRK64398650"/>
    <n v="5"/>
    <s v="WINTER15"/>
    <x v="0"/>
    <n v="1278.3599999999999"/>
  </r>
  <r>
    <s v="ORD200549"/>
    <d v="2025-02-25T00:00:00"/>
    <s v="C34266"/>
    <s v="Monitor"/>
    <n v="4"/>
    <n v="629.88"/>
    <s v="550 Main St"/>
    <x v="0"/>
    <s v="Cancelled"/>
    <s v="TRK56378197"/>
    <n v="8"/>
    <s v="WINTER15"/>
    <x v="0"/>
    <n v="2519.52"/>
  </r>
  <r>
    <s v="ORD200550"/>
    <d v="2023-10-29T00:00:00"/>
    <s v="C97485"/>
    <s v="Laptop"/>
    <n v="4"/>
    <n v="228.91"/>
    <s v="573 Main St"/>
    <x v="4"/>
    <s v="Shipped"/>
    <s v="TRK81794737"/>
    <n v="4"/>
    <s v="FREESHIP"/>
    <x v="4"/>
    <n v="915.64"/>
  </r>
  <r>
    <s v="ORD200551"/>
    <d v="2023-05-18T00:00:00"/>
    <s v="C23947"/>
    <s v="Laptop"/>
    <n v="1"/>
    <n v="120.98"/>
    <s v="353 Main St"/>
    <x v="0"/>
    <s v="Delivered"/>
    <s v="TRK74812710"/>
    <n v="6"/>
    <s v="WINTER15"/>
    <x v="2"/>
    <n v="120.98"/>
  </r>
  <r>
    <s v="ORD200552"/>
    <d v="2023-09-30T00:00:00"/>
    <s v="C21665"/>
    <s v="Chair"/>
    <n v="4"/>
    <n v="425.18"/>
    <s v="560 Main St"/>
    <x v="1"/>
    <s v="Returned"/>
    <s v="TRK29890761"/>
    <n v="8"/>
    <s v="WINTER15"/>
    <x v="3"/>
    <n v="1700.72"/>
  </r>
  <r>
    <s v="ORD200553"/>
    <d v="2023-08-23T00:00:00"/>
    <s v="C82550"/>
    <s v="Phone"/>
    <n v="2"/>
    <n v="333.83"/>
    <s v="828 Main St"/>
    <x v="3"/>
    <s v="Cancelled"/>
    <s v="TRK74103758"/>
    <n v="4"/>
    <s v="FREESHIP"/>
    <x v="1"/>
    <n v="667.66"/>
  </r>
  <r>
    <s v="ORD200554"/>
    <d v="2025-05-30T00:00:00"/>
    <s v="C61943"/>
    <s v="Laptop"/>
    <n v="2"/>
    <n v="492.9"/>
    <s v="610 Main St"/>
    <x v="4"/>
    <s v="Returned"/>
    <s v="TRK66126496"/>
    <n v="5"/>
    <s v="FREESHIP"/>
    <x v="0"/>
    <n v="985.8"/>
  </r>
  <r>
    <s v="ORD200555"/>
    <d v="2023-01-07T00:00:00"/>
    <s v="C88933"/>
    <s v="Tablet"/>
    <n v="1"/>
    <n v="92.04"/>
    <s v="333 Main St"/>
    <x v="4"/>
    <s v="Shipped"/>
    <s v="TRK89306964"/>
    <n v="2"/>
    <m/>
    <x v="3"/>
    <n v="92.04"/>
  </r>
  <r>
    <s v="ORD200556"/>
    <d v="2023-01-28T00:00:00"/>
    <s v="C30923"/>
    <s v="Laptop"/>
    <n v="1"/>
    <n v="654.27"/>
    <s v="932 Main St"/>
    <x v="3"/>
    <s v="Pending"/>
    <s v="TRK82609328"/>
    <n v="2"/>
    <s v="SAVE10"/>
    <x v="3"/>
    <n v="654.27"/>
  </r>
  <r>
    <s v="ORD200557"/>
    <d v="2023-06-29T00:00:00"/>
    <s v="C56969"/>
    <s v="Tablet"/>
    <n v="1"/>
    <n v="56.2"/>
    <s v="130 Main St"/>
    <x v="0"/>
    <s v="Pending"/>
    <s v="TRK40719215"/>
    <n v="1"/>
    <s v="WINTER15"/>
    <x v="3"/>
    <n v="56.2"/>
  </r>
  <r>
    <s v="ORD200558"/>
    <d v="2024-07-16T00:00:00"/>
    <s v="C76766"/>
    <s v="Phone"/>
    <n v="4"/>
    <n v="628.12"/>
    <s v="485 Main St"/>
    <x v="1"/>
    <s v="Delivered"/>
    <s v="TRK32052962"/>
    <n v="6"/>
    <s v="WINTER15"/>
    <x v="0"/>
    <n v="2512.48"/>
  </r>
  <r>
    <s v="ORD200559"/>
    <d v="2024-04-15T00:00:00"/>
    <s v="C22981"/>
    <s v="Desk"/>
    <n v="3"/>
    <n v="157.4"/>
    <s v="454 Main St"/>
    <x v="0"/>
    <s v="Cancelled"/>
    <s v="TRK10115285"/>
    <n v="7"/>
    <s v="WINTER15"/>
    <x v="2"/>
    <n v="472.2"/>
  </r>
  <r>
    <s v="ORD200560"/>
    <d v="2023-01-31T00:00:00"/>
    <s v="C33634"/>
    <s v="Monitor"/>
    <n v="4"/>
    <n v="588.85"/>
    <s v="524 Main St"/>
    <x v="3"/>
    <s v="Pending"/>
    <s v="TRK93168008"/>
    <n v="7"/>
    <m/>
    <x v="2"/>
    <n v="2355.4"/>
  </r>
  <r>
    <s v="ORD200561"/>
    <d v="2023-01-31T00:00:00"/>
    <s v="C96822"/>
    <s v="Printer"/>
    <n v="2"/>
    <n v="494.78"/>
    <s v="198 Main St"/>
    <x v="1"/>
    <s v="Shipped"/>
    <s v="TRK89180077"/>
    <n v="2"/>
    <m/>
    <x v="4"/>
    <n v="989.56"/>
  </r>
  <r>
    <s v="ORD200562"/>
    <d v="2023-10-06T00:00:00"/>
    <s v="C76675"/>
    <s v="Laptop"/>
    <n v="3"/>
    <n v="663.93"/>
    <s v="922 Main St"/>
    <x v="3"/>
    <s v="Returned"/>
    <s v="TRK28043915"/>
    <n v="6"/>
    <s v="FREESHIP"/>
    <x v="2"/>
    <n v="1991.79"/>
  </r>
  <r>
    <s v="ORD200563"/>
    <d v="2023-12-12T00:00:00"/>
    <s v="C12039"/>
    <s v="Laptop"/>
    <n v="1"/>
    <n v="132.68"/>
    <s v="844 Main St"/>
    <x v="0"/>
    <s v="Returned"/>
    <s v="TRK68645763"/>
    <n v="1"/>
    <s v="SAVE10"/>
    <x v="1"/>
    <n v="132.68"/>
  </r>
  <r>
    <s v="ORD200564"/>
    <d v="2025-04-08T00:00:00"/>
    <s v="C93309"/>
    <s v="Desk"/>
    <n v="5"/>
    <n v="364.28"/>
    <s v="734 Main St"/>
    <x v="2"/>
    <s v="Cancelled"/>
    <s v="TRK99446987"/>
    <n v="5"/>
    <s v="WINTER15"/>
    <x v="4"/>
    <n v="1821.4"/>
  </r>
  <r>
    <s v="ORD200565"/>
    <d v="2023-05-14T00:00:00"/>
    <s v="C62042"/>
    <s v="Tablet"/>
    <n v="5"/>
    <n v="307.98"/>
    <s v="214 Main St"/>
    <x v="1"/>
    <s v="Pending"/>
    <s v="TRK42605492"/>
    <n v="10"/>
    <m/>
    <x v="3"/>
    <n v="1539.9"/>
  </r>
  <r>
    <s v="ORD200566"/>
    <d v="2024-04-18T00:00:00"/>
    <s v="C83223"/>
    <s v="Phone"/>
    <n v="4"/>
    <n v="162.71"/>
    <s v="167 Main St"/>
    <x v="4"/>
    <s v="Cancelled"/>
    <s v="TRK54339083"/>
    <n v="7"/>
    <s v="FREESHIP"/>
    <x v="2"/>
    <n v="650.84"/>
  </r>
  <r>
    <s v="ORD200567"/>
    <d v="2024-09-30T00:00:00"/>
    <s v="C92575"/>
    <s v="Chair"/>
    <n v="5"/>
    <n v="492.94"/>
    <s v="153 Main St"/>
    <x v="4"/>
    <s v="Shipped"/>
    <s v="TRK53579227"/>
    <n v="10"/>
    <s v="FREESHIP"/>
    <x v="2"/>
    <n v="2464.6999999999998"/>
  </r>
  <r>
    <s v="ORD200568"/>
    <d v="2023-03-10T00:00:00"/>
    <s v="C29072"/>
    <s v="Laptop"/>
    <n v="2"/>
    <n v="343.99"/>
    <s v="312 Main St"/>
    <x v="1"/>
    <s v="Delivered"/>
    <s v="TRK72334047"/>
    <n v="4"/>
    <m/>
    <x v="4"/>
    <n v="687.98"/>
  </r>
  <r>
    <s v="ORD200569"/>
    <d v="2025-03-22T00:00:00"/>
    <s v="C25783"/>
    <s v="Desk"/>
    <n v="5"/>
    <n v="250.68"/>
    <s v="672 Main St"/>
    <x v="4"/>
    <s v="Shipped"/>
    <s v="TRK13289741"/>
    <n v="8"/>
    <s v="SAVE10"/>
    <x v="0"/>
    <n v="1253.4000000000001"/>
  </r>
  <r>
    <s v="ORD200570"/>
    <d v="2024-12-27T00:00:00"/>
    <s v="C63727"/>
    <s v="Desk"/>
    <n v="2"/>
    <n v="362.14"/>
    <s v="122 Main St"/>
    <x v="0"/>
    <s v="Pending"/>
    <s v="TRK13611021"/>
    <n v="2"/>
    <s v="SAVE10"/>
    <x v="0"/>
    <n v="724.28"/>
  </r>
  <r>
    <s v="ORD200571"/>
    <d v="2024-11-23T00:00:00"/>
    <s v="C42365"/>
    <s v="Tablet"/>
    <n v="1"/>
    <n v="214.08"/>
    <s v="867 Main St"/>
    <x v="3"/>
    <s v="Returned"/>
    <s v="TRK39563288"/>
    <n v="2"/>
    <s v="WINTER15"/>
    <x v="4"/>
    <n v="214.08"/>
  </r>
  <r>
    <s v="ORD200572"/>
    <d v="2023-11-11T00:00:00"/>
    <s v="C27438"/>
    <s v="Printer"/>
    <n v="1"/>
    <n v="70.319999999999993"/>
    <s v="341 Main St"/>
    <x v="4"/>
    <s v="Returned"/>
    <s v="TRK69125497"/>
    <n v="4"/>
    <s v="WINTER15"/>
    <x v="3"/>
    <n v="70.319999999999993"/>
  </r>
  <r>
    <s v="ORD200573"/>
    <d v="2023-01-25T00:00:00"/>
    <s v="C13205"/>
    <s v="Chair"/>
    <n v="5"/>
    <n v="421.42"/>
    <s v="522 Main St"/>
    <x v="0"/>
    <s v="Cancelled"/>
    <s v="TRK30686578"/>
    <n v="7"/>
    <m/>
    <x v="0"/>
    <n v="2107.1"/>
  </r>
  <r>
    <s v="ORD200574"/>
    <d v="2024-01-24T00:00:00"/>
    <s v="C29685"/>
    <s v="Chair"/>
    <n v="5"/>
    <n v="384.69"/>
    <s v="275 Main St"/>
    <x v="2"/>
    <s v="Pending"/>
    <s v="TRK97733212"/>
    <n v="6"/>
    <s v="FREESHIP"/>
    <x v="2"/>
    <n v="1923.45"/>
  </r>
  <r>
    <s v="ORD200575"/>
    <d v="2023-06-07T00:00:00"/>
    <s v="C74005"/>
    <s v="Chair"/>
    <n v="5"/>
    <n v="448.15"/>
    <s v="528 Main St"/>
    <x v="3"/>
    <s v="Returned"/>
    <s v="TRK61640534"/>
    <n v="7"/>
    <s v="SAVE10"/>
    <x v="4"/>
    <n v="2240.75"/>
  </r>
  <r>
    <s v="ORD200576"/>
    <d v="2024-05-29T00:00:00"/>
    <s v="C14457"/>
    <s v="Laptop"/>
    <n v="5"/>
    <n v="79.08"/>
    <s v="747 Main St"/>
    <x v="4"/>
    <s v="Pending"/>
    <s v="TRK42517811"/>
    <n v="8"/>
    <m/>
    <x v="3"/>
    <n v="395.4"/>
  </r>
  <r>
    <s v="ORD200577"/>
    <d v="2023-01-22T00:00:00"/>
    <s v="C77046"/>
    <s v="Tablet"/>
    <n v="4"/>
    <n v="185.41"/>
    <s v="967 Main St"/>
    <x v="1"/>
    <s v="Returned"/>
    <s v="TRK44401497"/>
    <n v="9"/>
    <s v="WINTER15"/>
    <x v="4"/>
    <n v="741.64"/>
  </r>
  <r>
    <s v="ORD200578"/>
    <d v="2024-10-10T00:00:00"/>
    <s v="C50415"/>
    <s v="Monitor"/>
    <n v="5"/>
    <n v="566.07000000000005"/>
    <s v="587 Main St"/>
    <x v="2"/>
    <s v="Delivered"/>
    <s v="TRK41345634"/>
    <n v="6"/>
    <s v="SAVE10"/>
    <x v="0"/>
    <n v="2830.35"/>
  </r>
  <r>
    <s v="ORD200579"/>
    <d v="2023-06-04T00:00:00"/>
    <s v="C73999"/>
    <s v="Tablet"/>
    <n v="2"/>
    <n v="187.88"/>
    <s v="413 Main St"/>
    <x v="1"/>
    <s v="Shipped"/>
    <s v="TRK67919507"/>
    <n v="4"/>
    <s v="WINTER15"/>
    <x v="3"/>
    <n v="375.76"/>
  </r>
  <r>
    <s v="ORD200580"/>
    <d v="2023-11-14T00:00:00"/>
    <s v="C71076"/>
    <s v="Monitor"/>
    <n v="2"/>
    <n v="255.99"/>
    <s v="340 Main St"/>
    <x v="2"/>
    <s v="Delivered"/>
    <s v="TRK65148292"/>
    <n v="4"/>
    <s v="SAVE10"/>
    <x v="0"/>
    <n v="511.98"/>
  </r>
  <r>
    <s v="ORD200581"/>
    <d v="2024-11-11T00:00:00"/>
    <s v="C44674"/>
    <s v="Laptop"/>
    <n v="1"/>
    <n v="627.34"/>
    <s v="942 Main St"/>
    <x v="1"/>
    <s v="Delivered"/>
    <s v="TRK87158684"/>
    <n v="1"/>
    <m/>
    <x v="1"/>
    <n v="627.34"/>
  </r>
  <r>
    <s v="ORD200582"/>
    <d v="2024-02-19T00:00:00"/>
    <s v="C15228"/>
    <s v="Tablet"/>
    <n v="3"/>
    <n v="474.14"/>
    <s v="558 Main St"/>
    <x v="3"/>
    <s v="Shipped"/>
    <s v="TRK33860620"/>
    <n v="8"/>
    <s v="WINTER15"/>
    <x v="4"/>
    <n v="1422.42"/>
  </r>
  <r>
    <s v="ORD200583"/>
    <d v="2025-06-15T00:00:00"/>
    <s v="C27072"/>
    <s v="Chair"/>
    <n v="3"/>
    <n v="154.37"/>
    <s v="996 Main St"/>
    <x v="3"/>
    <s v="Delivered"/>
    <s v="TRK29750379"/>
    <n v="4"/>
    <m/>
    <x v="0"/>
    <n v="463.11"/>
  </r>
  <r>
    <s v="ORD200584"/>
    <d v="2025-03-21T00:00:00"/>
    <s v="C15257"/>
    <s v="Chair"/>
    <n v="4"/>
    <n v="145.05000000000001"/>
    <s v="626 Main St"/>
    <x v="1"/>
    <s v="Delivered"/>
    <s v="TRK28779938"/>
    <n v="6"/>
    <s v="SAVE10"/>
    <x v="4"/>
    <n v="580.20000000000005"/>
  </r>
  <r>
    <s v="ORD200585"/>
    <d v="2023-08-20T00:00:00"/>
    <s v="C91486"/>
    <s v="Tablet"/>
    <n v="4"/>
    <n v="67.08"/>
    <s v="907 Main St"/>
    <x v="4"/>
    <s v="Returned"/>
    <s v="TRK79617136"/>
    <n v="8"/>
    <s v="WINTER15"/>
    <x v="4"/>
    <n v="268.32"/>
  </r>
  <r>
    <s v="ORD200586"/>
    <d v="2024-11-10T00:00:00"/>
    <s v="C17389"/>
    <s v="Monitor"/>
    <n v="1"/>
    <n v="522.08000000000004"/>
    <s v="905 Main St"/>
    <x v="3"/>
    <s v="Returned"/>
    <s v="TRK98857880"/>
    <n v="5"/>
    <s v="FREESHIP"/>
    <x v="1"/>
    <n v="522.08000000000004"/>
  </r>
  <r>
    <s v="ORD200587"/>
    <d v="2023-06-12T00:00:00"/>
    <s v="C18820"/>
    <s v="Monitor"/>
    <n v="5"/>
    <n v="514.6"/>
    <s v="347 Main St"/>
    <x v="3"/>
    <s v="Delivered"/>
    <s v="TRK91547425"/>
    <n v="10"/>
    <s v="FREESHIP"/>
    <x v="0"/>
    <n v="2573"/>
  </r>
  <r>
    <s v="ORD200588"/>
    <d v="2024-12-10T00:00:00"/>
    <s v="C61849"/>
    <s v="Monitor"/>
    <n v="4"/>
    <n v="577.82000000000005"/>
    <s v="811 Main St"/>
    <x v="2"/>
    <s v="Delivered"/>
    <s v="TRK47613918"/>
    <n v="9"/>
    <m/>
    <x v="4"/>
    <n v="2311.2800000000002"/>
  </r>
  <r>
    <s v="ORD200589"/>
    <d v="2025-02-10T00:00:00"/>
    <s v="C84041"/>
    <s v="Laptop"/>
    <n v="2"/>
    <n v="500.8"/>
    <s v="900 Main St"/>
    <x v="4"/>
    <s v="Delivered"/>
    <s v="TRK84920444"/>
    <n v="3"/>
    <s v="FREESHIP"/>
    <x v="1"/>
    <n v="1001.6"/>
  </r>
  <r>
    <s v="ORD200590"/>
    <d v="2023-09-10T00:00:00"/>
    <s v="C55757"/>
    <s v="Printer"/>
    <n v="2"/>
    <n v="461.13"/>
    <s v="175 Main St"/>
    <x v="3"/>
    <s v="Returned"/>
    <s v="TRK27356242"/>
    <n v="4"/>
    <m/>
    <x v="2"/>
    <n v="922.26"/>
  </r>
  <r>
    <s v="ORD200591"/>
    <d v="2024-11-18T00:00:00"/>
    <s v="C18187"/>
    <s v="Laptop"/>
    <n v="1"/>
    <n v="605.28"/>
    <s v="470 Main St"/>
    <x v="3"/>
    <s v="Shipped"/>
    <s v="TRK50528185"/>
    <n v="3"/>
    <s v="FREESHIP"/>
    <x v="1"/>
    <n v="605.28"/>
  </r>
  <r>
    <s v="ORD200592"/>
    <d v="2024-04-23T00:00:00"/>
    <s v="C42306"/>
    <s v="Phone"/>
    <n v="3"/>
    <n v="204.27"/>
    <s v="938 Main St"/>
    <x v="1"/>
    <s v="Returned"/>
    <s v="TRK15499648"/>
    <n v="4"/>
    <m/>
    <x v="4"/>
    <n v="612.81000000000006"/>
  </r>
  <r>
    <s v="ORD200593"/>
    <d v="2023-08-02T00:00:00"/>
    <s v="C51024"/>
    <s v="Monitor"/>
    <n v="1"/>
    <n v="489.8"/>
    <s v="636 Main St"/>
    <x v="3"/>
    <s v="Shipped"/>
    <s v="TRK31375086"/>
    <n v="4"/>
    <s v="FREESHIP"/>
    <x v="3"/>
    <n v="489.8"/>
  </r>
  <r>
    <s v="ORD200594"/>
    <d v="2024-02-21T00:00:00"/>
    <s v="C40140"/>
    <s v="Phone"/>
    <n v="5"/>
    <n v="72.64"/>
    <s v="598 Main St"/>
    <x v="2"/>
    <s v="Cancelled"/>
    <s v="TRK12671989"/>
    <n v="7"/>
    <m/>
    <x v="2"/>
    <n v="363.2"/>
  </r>
  <r>
    <s v="ORD200595"/>
    <d v="2025-01-10T00:00:00"/>
    <s v="C72596"/>
    <s v="Printer"/>
    <n v="2"/>
    <n v="385.16"/>
    <s v="491 Main St"/>
    <x v="1"/>
    <s v="Pending"/>
    <s v="TRK83870446"/>
    <n v="7"/>
    <s v="SAVE10"/>
    <x v="2"/>
    <n v="770.32"/>
  </r>
  <r>
    <s v="ORD200596"/>
    <d v="2023-06-12T00:00:00"/>
    <s v="C91805"/>
    <s v="Desk"/>
    <n v="3"/>
    <n v="606.41"/>
    <s v="653 Main St"/>
    <x v="0"/>
    <s v="Returned"/>
    <s v="TRK34504030"/>
    <n v="7"/>
    <s v="FREESHIP"/>
    <x v="3"/>
    <n v="1819.23"/>
  </r>
  <r>
    <s v="ORD200597"/>
    <d v="2024-11-25T00:00:00"/>
    <s v="C40538"/>
    <s v="Desk"/>
    <n v="2"/>
    <n v="211.82"/>
    <s v="700 Main St"/>
    <x v="3"/>
    <s v="Cancelled"/>
    <s v="TRK29821356"/>
    <n v="4"/>
    <s v="WINTER15"/>
    <x v="2"/>
    <n v="423.64"/>
  </r>
  <r>
    <s v="ORD200598"/>
    <d v="2024-04-26T00:00:00"/>
    <s v="C60329"/>
    <s v="Desk"/>
    <n v="5"/>
    <n v="495.35"/>
    <s v="826 Main St"/>
    <x v="2"/>
    <s v="Pending"/>
    <s v="TRK59069987"/>
    <n v="5"/>
    <m/>
    <x v="3"/>
    <n v="2476.75"/>
  </r>
  <r>
    <s v="ORD200599"/>
    <d v="2023-06-30T00:00:00"/>
    <s v="C28740"/>
    <s v="Chair"/>
    <n v="3"/>
    <n v="556.99"/>
    <s v="123 Main St"/>
    <x v="1"/>
    <s v="Cancelled"/>
    <s v="TRK33642221"/>
    <n v="4"/>
    <s v="FREESHIP"/>
    <x v="3"/>
    <n v="1670.97"/>
  </r>
  <r>
    <s v="ORD200600"/>
    <d v="2023-05-26T00:00:00"/>
    <s v="C87051"/>
    <s v="Printer"/>
    <n v="1"/>
    <n v="72.31"/>
    <s v="460 Main St"/>
    <x v="3"/>
    <s v="Cancelled"/>
    <s v="TRK82056333"/>
    <n v="1"/>
    <s v="FREESHIP"/>
    <x v="3"/>
    <n v="72.31"/>
  </r>
  <r>
    <s v="ORD200601"/>
    <d v="2023-10-02T00:00:00"/>
    <s v="C12479"/>
    <s v="Monitor"/>
    <n v="5"/>
    <n v="24.82"/>
    <s v="529 Main St"/>
    <x v="2"/>
    <s v="Shipped"/>
    <s v="TRK73935314"/>
    <n v="10"/>
    <m/>
    <x v="1"/>
    <n v="124.1"/>
  </r>
  <r>
    <s v="ORD200602"/>
    <d v="2024-03-05T00:00:00"/>
    <s v="C35852"/>
    <s v="Tablet"/>
    <n v="4"/>
    <n v="26.04"/>
    <s v="982 Main St"/>
    <x v="1"/>
    <s v="Pending"/>
    <s v="TRK64660134"/>
    <n v="5"/>
    <s v="SAVE10"/>
    <x v="0"/>
    <n v="104.16"/>
  </r>
  <r>
    <s v="ORD200603"/>
    <d v="2024-10-04T00:00:00"/>
    <s v="C26223"/>
    <s v="Tablet"/>
    <n v="1"/>
    <n v="657.07"/>
    <s v="800 Main St"/>
    <x v="4"/>
    <s v="Pending"/>
    <s v="TRK50900547"/>
    <n v="4"/>
    <s v="SAVE10"/>
    <x v="4"/>
    <n v="657.07"/>
  </r>
  <r>
    <s v="ORD200604"/>
    <d v="2025-06-22T00:00:00"/>
    <s v="C99214"/>
    <s v="Chair"/>
    <n v="3"/>
    <n v="32.619999999999997"/>
    <s v="252 Main St"/>
    <x v="0"/>
    <s v="Delivered"/>
    <s v="TRK81368481"/>
    <n v="6"/>
    <m/>
    <x v="3"/>
    <n v="97.859999999999985"/>
  </r>
  <r>
    <s v="ORD200605"/>
    <d v="2024-05-10T00:00:00"/>
    <s v="C49605"/>
    <s v="Monitor"/>
    <n v="2"/>
    <n v="228.91"/>
    <s v="892 Main St"/>
    <x v="0"/>
    <s v="Shipped"/>
    <s v="TRK95620066"/>
    <n v="4"/>
    <s v="SAVE10"/>
    <x v="1"/>
    <n v="457.82"/>
  </r>
  <r>
    <s v="ORD200606"/>
    <d v="2024-11-06T00:00:00"/>
    <s v="C85018"/>
    <s v="Laptop"/>
    <n v="3"/>
    <n v="274.75"/>
    <s v="783 Main St"/>
    <x v="4"/>
    <s v="Cancelled"/>
    <s v="TRK54128886"/>
    <n v="3"/>
    <s v="SAVE10"/>
    <x v="4"/>
    <n v="824.25"/>
  </r>
  <r>
    <s v="ORD200607"/>
    <d v="2025-05-31T00:00:00"/>
    <s v="C96434"/>
    <s v="Printer"/>
    <n v="4"/>
    <n v="634.04999999999995"/>
    <s v="282 Main St"/>
    <x v="4"/>
    <s v="Shipped"/>
    <s v="TRK56730647"/>
    <n v="6"/>
    <s v="SAVE10"/>
    <x v="4"/>
    <n v="2536.1999999999998"/>
  </r>
  <r>
    <s v="ORD200608"/>
    <d v="2024-07-24T00:00:00"/>
    <s v="C32956"/>
    <s v="Laptop"/>
    <n v="5"/>
    <n v="543.16"/>
    <s v="788 Main St"/>
    <x v="1"/>
    <s v="Cancelled"/>
    <s v="TRK73140103"/>
    <n v="6"/>
    <s v="SAVE10"/>
    <x v="0"/>
    <n v="2715.8"/>
  </r>
  <r>
    <s v="ORD200609"/>
    <d v="2025-01-27T00:00:00"/>
    <s v="C41137"/>
    <s v="Chair"/>
    <n v="3"/>
    <n v="449.13"/>
    <s v="809 Main St"/>
    <x v="4"/>
    <s v="Returned"/>
    <s v="TRK52732162"/>
    <n v="5"/>
    <s v="WINTER15"/>
    <x v="1"/>
    <n v="1347.39"/>
  </r>
  <r>
    <s v="ORD200610"/>
    <d v="2024-06-16T00:00:00"/>
    <s v="C60361"/>
    <s v="Desk"/>
    <n v="5"/>
    <n v="389.62"/>
    <s v="623 Main St"/>
    <x v="4"/>
    <s v="Returned"/>
    <s v="TRK83566924"/>
    <n v="7"/>
    <s v="FREESHIP"/>
    <x v="3"/>
    <n v="1948.1"/>
  </r>
  <r>
    <s v="ORD200611"/>
    <d v="2023-04-21T00:00:00"/>
    <s v="C36688"/>
    <s v="Desk"/>
    <n v="1"/>
    <n v="305.17"/>
    <s v="700 Main St"/>
    <x v="3"/>
    <s v="Returned"/>
    <s v="TRK35720426"/>
    <n v="3"/>
    <s v="WINTER15"/>
    <x v="1"/>
    <n v="305.17"/>
  </r>
  <r>
    <s v="ORD200612"/>
    <d v="2023-06-02T00:00:00"/>
    <s v="C51811"/>
    <s v="Chair"/>
    <n v="3"/>
    <n v="445.12"/>
    <s v="339 Main St"/>
    <x v="3"/>
    <s v="Cancelled"/>
    <s v="TRK82377939"/>
    <n v="8"/>
    <m/>
    <x v="4"/>
    <n v="1335.36"/>
  </r>
  <r>
    <s v="ORD200613"/>
    <d v="2024-12-19T00:00:00"/>
    <s v="C62405"/>
    <s v="Laptop"/>
    <n v="2"/>
    <n v="230.36"/>
    <s v="154 Main St"/>
    <x v="1"/>
    <s v="Returned"/>
    <s v="TRK14721763"/>
    <n v="4"/>
    <s v="WINTER15"/>
    <x v="2"/>
    <n v="460.72"/>
  </r>
  <r>
    <s v="ORD200614"/>
    <d v="2024-03-08T00:00:00"/>
    <s v="C77363"/>
    <s v="Phone"/>
    <n v="1"/>
    <n v="96.81"/>
    <s v="807 Main St"/>
    <x v="3"/>
    <s v="Cancelled"/>
    <s v="TRK12439827"/>
    <n v="3"/>
    <m/>
    <x v="1"/>
    <n v="96.81"/>
  </r>
  <r>
    <s v="ORD200615"/>
    <d v="2025-03-07T00:00:00"/>
    <s v="C97218"/>
    <s v="Monitor"/>
    <n v="5"/>
    <n v="460.14"/>
    <s v="252 Main St"/>
    <x v="2"/>
    <s v="Returned"/>
    <s v="TRK52632065"/>
    <n v="10"/>
    <s v="WINTER15"/>
    <x v="3"/>
    <n v="2300.6999999999998"/>
  </r>
  <r>
    <s v="ORD200616"/>
    <d v="2024-10-17T00:00:00"/>
    <s v="C43919"/>
    <s v="Tablet"/>
    <n v="3"/>
    <n v="601.6"/>
    <s v="984 Main St"/>
    <x v="2"/>
    <s v="Cancelled"/>
    <s v="TRK73113192"/>
    <n v="7"/>
    <s v="SAVE10"/>
    <x v="3"/>
    <n v="1804.8"/>
  </r>
  <r>
    <s v="ORD200617"/>
    <d v="2024-02-08T00:00:00"/>
    <s v="C57093"/>
    <s v="Tablet"/>
    <n v="3"/>
    <n v="184.47"/>
    <s v="834 Main St"/>
    <x v="1"/>
    <s v="Cancelled"/>
    <s v="TRK75469057"/>
    <n v="4"/>
    <m/>
    <x v="1"/>
    <n v="553.41"/>
  </r>
  <r>
    <s v="ORD200618"/>
    <d v="2024-09-03T00:00:00"/>
    <s v="C50565"/>
    <s v="Tablet"/>
    <n v="1"/>
    <n v="411.34"/>
    <s v="399 Main St"/>
    <x v="0"/>
    <s v="Returned"/>
    <s v="TRK97981418"/>
    <n v="5"/>
    <m/>
    <x v="0"/>
    <n v="411.34"/>
  </r>
  <r>
    <s v="ORD200619"/>
    <d v="2024-07-16T00:00:00"/>
    <s v="C38845"/>
    <s v="Laptop"/>
    <n v="1"/>
    <n v="532.89"/>
    <s v="764 Main St"/>
    <x v="3"/>
    <s v="Pending"/>
    <s v="TRK47637374"/>
    <n v="2"/>
    <m/>
    <x v="1"/>
    <n v="532.89"/>
  </r>
  <r>
    <s v="ORD200620"/>
    <d v="2024-03-27T00:00:00"/>
    <s v="C84834"/>
    <s v="Tablet"/>
    <n v="3"/>
    <n v="136.34"/>
    <s v="866 Main St"/>
    <x v="0"/>
    <s v="Returned"/>
    <s v="TRK90136001"/>
    <n v="8"/>
    <s v="SAVE10"/>
    <x v="1"/>
    <n v="409.02"/>
  </r>
  <r>
    <s v="ORD200621"/>
    <d v="2023-10-22T00:00:00"/>
    <s v="C37455"/>
    <s v="Phone"/>
    <n v="5"/>
    <n v="476.01"/>
    <s v="146 Main St"/>
    <x v="2"/>
    <s v="Delivered"/>
    <s v="TRK82685594"/>
    <n v="7"/>
    <s v="WINTER15"/>
    <x v="4"/>
    <n v="2380.0500000000002"/>
  </r>
  <r>
    <s v="ORD200622"/>
    <d v="2024-11-02T00:00:00"/>
    <s v="C27078"/>
    <s v="Desk"/>
    <n v="5"/>
    <n v="236.38"/>
    <s v="128 Main St"/>
    <x v="2"/>
    <s v="Returned"/>
    <s v="TRK89314307"/>
    <n v="7"/>
    <m/>
    <x v="3"/>
    <n v="1181.9000000000001"/>
  </r>
  <r>
    <s v="ORD200623"/>
    <d v="2023-06-16T00:00:00"/>
    <s v="C91941"/>
    <s v="Printer"/>
    <n v="3"/>
    <n v="396"/>
    <s v="269 Main St"/>
    <x v="3"/>
    <s v="Cancelled"/>
    <s v="TRK21330732"/>
    <n v="4"/>
    <s v="FREESHIP"/>
    <x v="0"/>
    <n v="1188"/>
  </r>
  <r>
    <s v="ORD200624"/>
    <d v="2024-01-16T00:00:00"/>
    <s v="C25967"/>
    <s v="Tablet"/>
    <n v="5"/>
    <n v="341.96"/>
    <s v="747 Main St"/>
    <x v="0"/>
    <s v="Delivered"/>
    <s v="TRK88559278"/>
    <n v="6"/>
    <m/>
    <x v="2"/>
    <n v="1709.8"/>
  </r>
  <r>
    <s v="ORD200625"/>
    <d v="2023-09-24T00:00:00"/>
    <s v="C22123"/>
    <s v="Tablet"/>
    <n v="1"/>
    <n v="672.89"/>
    <s v="519 Main St"/>
    <x v="2"/>
    <s v="Pending"/>
    <s v="TRK43250279"/>
    <n v="1"/>
    <s v="WINTER15"/>
    <x v="2"/>
    <n v="672.89"/>
  </r>
  <r>
    <s v="ORD200626"/>
    <d v="2024-03-01T00:00:00"/>
    <s v="C45671"/>
    <s v="Tablet"/>
    <n v="2"/>
    <n v="657.48"/>
    <s v="769 Main St"/>
    <x v="1"/>
    <s v="Shipped"/>
    <s v="TRK18179773"/>
    <n v="5"/>
    <s v="SAVE10"/>
    <x v="1"/>
    <n v="1314.96"/>
  </r>
  <r>
    <s v="ORD200627"/>
    <d v="2023-08-06T00:00:00"/>
    <s v="C53334"/>
    <s v="Chair"/>
    <n v="3"/>
    <n v="498.68"/>
    <s v="879 Main St"/>
    <x v="1"/>
    <s v="Returned"/>
    <s v="TRK31724421"/>
    <n v="4"/>
    <s v="FREESHIP"/>
    <x v="2"/>
    <n v="1496.04"/>
  </r>
  <r>
    <s v="ORD200628"/>
    <d v="2023-03-26T00:00:00"/>
    <s v="C18717"/>
    <s v="Printer"/>
    <n v="5"/>
    <n v="558.63"/>
    <s v="861 Main St"/>
    <x v="4"/>
    <s v="Pending"/>
    <s v="TRK58568806"/>
    <n v="8"/>
    <s v="FREESHIP"/>
    <x v="1"/>
    <n v="2793.15"/>
  </r>
  <r>
    <s v="ORD200629"/>
    <d v="2023-07-07T00:00:00"/>
    <s v="C50137"/>
    <s v="Phone"/>
    <n v="3"/>
    <n v="19.73"/>
    <s v="840 Main St"/>
    <x v="1"/>
    <s v="Pending"/>
    <s v="TRK91836131"/>
    <n v="3"/>
    <m/>
    <x v="1"/>
    <n v="59.19"/>
  </r>
  <r>
    <s v="ORD200630"/>
    <d v="2023-06-23T00:00:00"/>
    <s v="C51481"/>
    <s v="Monitor"/>
    <n v="5"/>
    <n v="248.84"/>
    <s v="140 Main St"/>
    <x v="0"/>
    <s v="Cancelled"/>
    <s v="TRK33437701"/>
    <n v="10"/>
    <m/>
    <x v="0"/>
    <n v="1244.2"/>
  </r>
  <r>
    <s v="ORD200631"/>
    <d v="2024-08-31T00:00:00"/>
    <s v="C99128"/>
    <s v="Chair"/>
    <n v="3"/>
    <n v="46.11"/>
    <s v="360 Main St"/>
    <x v="3"/>
    <s v="Returned"/>
    <s v="TRK32426808"/>
    <n v="5"/>
    <s v="WINTER15"/>
    <x v="1"/>
    <n v="138.33000000000001"/>
  </r>
  <r>
    <s v="ORD200632"/>
    <d v="2023-05-02T00:00:00"/>
    <s v="C67260"/>
    <s v="Laptop"/>
    <n v="5"/>
    <n v="678.16"/>
    <s v="463 Main St"/>
    <x v="3"/>
    <s v="Delivered"/>
    <s v="TRK38229104"/>
    <n v="7"/>
    <s v="WINTER15"/>
    <x v="3"/>
    <n v="3390.8"/>
  </r>
  <r>
    <s v="ORD200633"/>
    <d v="2024-04-10T00:00:00"/>
    <s v="C79533"/>
    <s v="Laptop"/>
    <n v="5"/>
    <n v="601.72"/>
    <s v="921 Main St"/>
    <x v="3"/>
    <s v="Cancelled"/>
    <s v="TRK54711422"/>
    <n v="5"/>
    <s v="WINTER15"/>
    <x v="0"/>
    <n v="3008.6"/>
  </r>
  <r>
    <s v="ORD200634"/>
    <d v="2024-04-25T00:00:00"/>
    <s v="C66906"/>
    <s v="Printer"/>
    <n v="2"/>
    <n v="259.32"/>
    <s v="117 Main St"/>
    <x v="3"/>
    <s v="Delivered"/>
    <s v="TRK31633755"/>
    <n v="2"/>
    <s v="WINTER15"/>
    <x v="1"/>
    <n v="518.64"/>
  </r>
  <r>
    <s v="ORD200635"/>
    <d v="2023-12-13T00:00:00"/>
    <s v="C12818"/>
    <s v="Chair"/>
    <n v="3"/>
    <n v="63.68"/>
    <s v="434 Main St"/>
    <x v="4"/>
    <s v="Returned"/>
    <s v="TRK40879983"/>
    <n v="6"/>
    <m/>
    <x v="3"/>
    <n v="191.04"/>
  </r>
  <r>
    <s v="ORD200636"/>
    <d v="2023-10-05T00:00:00"/>
    <s v="C60384"/>
    <s v="Laptop"/>
    <n v="4"/>
    <n v="371.07"/>
    <s v="336 Main St"/>
    <x v="4"/>
    <s v="Cancelled"/>
    <s v="TRK92080037"/>
    <n v="7"/>
    <s v="WINTER15"/>
    <x v="3"/>
    <n v="1484.28"/>
  </r>
  <r>
    <s v="ORD200637"/>
    <d v="2024-09-29T00:00:00"/>
    <s v="C92294"/>
    <s v="Chair"/>
    <n v="4"/>
    <n v="306.35000000000002"/>
    <s v="784 Main St"/>
    <x v="3"/>
    <s v="Shipped"/>
    <s v="TRK23585765"/>
    <n v="7"/>
    <s v="WINTER15"/>
    <x v="1"/>
    <n v="1225.4000000000001"/>
  </r>
  <r>
    <s v="ORD200638"/>
    <d v="2023-10-15T00:00:00"/>
    <s v="C66840"/>
    <s v="Tablet"/>
    <n v="4"/>
    <n v="578.27"/>
    <s v="547 Main St"/>
    <x v="1"/>
    <s v="Delivered"/>
    <s v="TRK76929637"/>
    <n v="9"/>
    <s v="WINTER15"/>
    <x v="2"/>
    <n v="2313.08"/>
  </r>
  <r>
    <s v="ORD200639"/>
    <d v="2023-01-20T00:00:00"/>
    <s v="C22534"/>
    <s v="Chair"/>
    <n v="1"/>
    <n v="529.19000000000005"/>
    <s v="391 Main St"/>
    <x v="4"/>
    <s v="Cancelled"/>
    <s v="TRK17415798"/>
    <n v="5"/>
    <m/>
    <x v="1"/>
    <n v="529.19000000000005"/>
  </r>
  <r>
    <s v="ORD200640"/>
    <d v="2024-02-27T00:00:00"/>
    <s v="C46509"/>
    <s v="Chair"/>
    <n v="2"/>
    <n v="587.49"/>
    <s v="647 Main St"/>
    <x v="3"/>
    <s v="Returned"/>
    <s v="TRK24241664"/>
    <n v="6"/>
    <s v="SAVE10"/>
    <x v="1"/>
    <n v="1174.98"/>
  </r>
  <r>
    <s v="ORD200641"/>
    <d v="2024-06-30T00:00:00"/>
    <s v="C71680"/>
    <s v="Printer"/>
    <n v="4"/>
    <n v="567.57000000000005"/>
    <s v="814 Main St"/>
    <x v="0"/>
    <s v="Pending"/>
    <s v="TRK47386650"/>
    <n v="9"/>
    <s v="WINTER15"/>
    <x v="4"/>
    <n v="2270.2800000000002"/>
  </r>
  <r>
    <s v="ORD200642"/>
    <d v="2024-04-29T00:00:00"/>
    <s v="C15063"/>
    <s v="Chair"/>
    <n v="5"/>
    <n v="85.22"/>
    <s v="527 Main St"/>
    <x v="2"/>
    <s v="Cancelled"/>
    <s v="TRK10329390"/>
    <n v="7"/>
    <s v="FREESHIP"/>
    <x v="2"/>
    <n v="426.1"/>
  </r>
  <r>
    <s v="ORD200643"/>
    <d v="2024-08-26T00:00:00"/>
    <s v="C77122"/>
    <s v="Laptop"/>
    <n v="1"/>
    <n v="438.37"/>
    <s v="647 Main St"/>
    <x v="4"/>
    <s v="Cancelled"/>
    <s v="TRK75814880"/>
    <n v="4"/>
    <s v="SAVE10"/>
    <x v="1"/>
    <n v="438.37"/>
  </r>
  <r>
    <s v="ORD200644"/>
    <d v="2023-11-15T00:00:00"/>
    <s v="C86524"/>
    <s v="Chair"/>
    <n v="2"/>
    <n v="366.23"/>
    <s v="961 Main St"/>
    <x v="4"/>
    <s v="Shipped"/>
    <s v="TRK62490506"/>
    <n v="2"/>
    <s v="WINTER15"/>
    <x v="2"/>
    <n v="732.46"/>
  </r>
  <r>
    <s v="ORD200645"/>
    <d v="2023-01-02T00:00:00"/>
    <s v="C82990"/>
    <s v="Laptop"/>
    <n v="2"/>
    <n v="150.05000000000001"/>
    <s v="727 Main St"/>
    <x v="2"/>
    <s v="Cancelled"/>
    <s v="TRK68574801"/>
    <n v="4"/>
    <s v="SAVE10"/>
    <x v="3"/>
    <n v="300.10000000000002"/>
  </r>
  <r>
    <s v="ORD200646"/>
    <d v="2023-10-27T00:00:00"/>
    <s v="C98761"/>
    <s v="Chair"/>
    <n v="4"/>
    <n v="498.51"/>
    <s v="804 Main St"/>
    <x v="0"/>
    <s v="Shipped"/>
    <s v="TRK43262630"/>
    <n v="4"/>
    <s v="SAVE10"/>
    <x v="4"/>
    <n v="1994.04"/>
  </r>
  <r>
    <s v="ORD200647"/>
    <d v="2025-04-24T00:00:00"/>
    <s v="C54409"/>
    <s v="Desk"/>
    <n v="3"/>
    <n v="339.39"/>
    <s v="667 Main St"/>
    <x v="4"/>
    <s v="Returned"/>
    <s v="TRK67671316"/>
    <n v="7"/>
    <s v="FREESHIP"/>
    <x v="4"/>
    <n v="1018.17"/>
  </r>
  <r>
    <s v="ORD200648"/>
    <d v="2025-01-18T00:00:00"/>
    <s v="C89674"/>
    <s v="Monitor"/>
    <n v="2"/>
    <n v="575.83000000000004"/>
    <s v="182 Main St"/>
    <x v="1"/>
    <s v="Delivered"/>
    <s v="TRK45902512"/>
    <n v="3"/>
    <s v="WINTER15"/>
    <x v="1"/>
    <n v="1151.6600000000001"/>
  </r>
  <r>
    <s v="ORD200649"/>
    <d v="2023-12-23T00:00:00"/>
    <s v="C45899"/>
    <s v="Monitor"/>
    <n v="2"/>
    <n v="642.98"/>
    <s v="153 Main St"/>
    <x v="0"/>
    <s v="Returned"/>
    <s v="TRK32932093"/>
    <n v="7"/>
    <s v="FREESHIP"/>
    <x v="2"/>
    <n v="1285.96"/>
  </r>
  <r>
    <s v="ORD200650"/>
    <d v="2023-05-18T00:00:00"/>
    <s v="C74499"/>
    <s v="Desk"/>
    <n v="2"/>
    <n v="372.23"/>
    <s v="518 Main St"/>
    <x v="3"/>
    <s v="Delivered"/>
    <s v="TRK93767278"/>
    <n v="7"/>
    <s v="SAVE10"/>
    <x v="2"/>
    <n v="744.46"/>
  </r>
  <r>
    <s v="ORD200651"/>
    <d v="2024-11-12T00:00:00"/>
    <s v="C81192"/>
    <s v="Chair"/>
    <n v="3"/>
    <n v="646.34"/>
    <s v="429 Main St"/>
    <x v="0"/>
    <s v="Pending"/>
    <s v="TRK76931118"/>
    <n v="5"/>
    <m/>
    <x v="4"/>
    <n v="1939.02"/>
  </r>
  <r>
    <s v="ORD200652"/>
    <d v="2024-06-05T00:00:00"/>
    <s v="C71473"/>
    <s v="Chair"/>
    <n v="5"/>
    <n v="341.84"/>
    <s v="328 Main St"/>
    <x v="1"/>
    <s v="Shipped"/>
    <s v="TRK94857335"/>
    <n v="8"/>
    <s v="FREESHIP"/>
    <x v="0"/>
    <n v="1709.2"/>
  </r>
  <r>
    <s v="ORD200653"/>
    <d v="2024-02-25T00:00:00"/>
    <s v="C59338"/>
    <s v="Printer"/>
    <n v="3"/>
    <n v="690.3"/>
    <s v="747 Main St"/>
    <x v="2"/>
    <s v="Shipped"/>
    <s v="TRK12902764"/>
    <n v="6"/>
    <s v="WINTER15"/>
    <x v="4"/>
    <n v="2070.9"/>
  </r>
  <r>
    <s v="ORD200654"/>
    <d v="2023-06-12T00:00:00"/>
    <s v="C62661"/>
    <s v="Tablet"/>
    <n v="3"/>
    <n v="382.37"/>
    <s v="863 Main St"/>
    <x v="0"/>
    <s v="Returned"/>
    <s v="TRK25748100"/>
    <n v="8"/>
    <m/>
    <x v="0"/>
    <n v="1147.1099999999999"/>
  </r>
  <r>
    <s v="ORD200655"/>
    <d v="2023-03-14T00:00:00"/>
    <s v="C22101"/>
    <s v="Chair"/>
    <n v="2"/>
    <n v="132.6"/>
    <s v="262 Main St"/>
    <x v="0"/>
    <s v="Cancelled"/>
    <s v="TRK70711522"/>
    <n v="4"/>
    <s v="WINTER15"/>
    <x v="2"/>
    <n v="265.2"/>
  </r>
  <r>
    <s v="ORD200656"/>
    <d v="2024-01-18T00:00:00"/>
    <s v="C51404"/>
    <s v="Monitor"/>
    <n v="2"/>
    <n v="189.06"/>
    <s v="835 Main St"/>
    <x v="3"/>
    <s v="Shipped"/>
    <s v="TRK85682500"/>
    <n v="7"/>
    <s v="SAVE10"/>
    <x v="3"/>
    <n v="378.12"/>
  </r>
  <r>
    <s v="ORD200657"/>
    <d v="2023-12-24T00:00:00"/>
    <s v="C19384"/>
    <s v="Tablet"/>
    <n v="4"/>
    <n v="87.79"/>
    <s v="532 Main St"/>
    <x v="4"/>
    <s v="Cancelled"/>
    <s v="TRK33207064"/>
    <n v="6"/>
    <s v="FREESHIP"/>
    <x v="0"/>
    <n v="351.16"/>
  </r>
  <r>
    <s v="ORD200658"/>
    <d v="2025-04-18T00:00:00"/>
    <s v="C86864"/>
    <s v="Printer"/>
    <n v="2"/>
    <n v="46.36"/>
    <s v="670 Main St"/>
    <x v="3"/>
    <s v="Returned"/>
    <s v="TRK15323191"/>
    <n v="4"/>
    <s v="SAVE10"/>
    <x v="4"/>
    <n v="92.72"/>
  </r>
  <r>
    <s v="ORD200659"/>
    <d v="2024-10-26T00:00:00"/>
    <s v="C24301"/>
    <s v="Phone"/>
    <n v="2"/>
    <n v="642.04"/>
    <s v="964 Main St"/>
    <x v="3"/>
    <s v="Delivered"/>
    <s v="TRK55000075"/>
    <n v="4"/>
    <s v="WINTER15"/>
    <x v="2"/>
    <n v="1284.08"/>
  </r>
  <r>
    <s v="ORD200660"/>
    <d v="2024-10-19T00:00:00"/>
    <s v="C43842"/>
    <s v="Chair"/>
    <n v="2"/>
    <n v="651.57000000000005"/>
    <s v="933 Main St"/>
    <x v="0"/>
    <s v="Shipped"/>
    <s v="TRK54084424"/>
    <n v="7"/>
    <s v="WINTER15"/>
    <x v="3"/>
    <n v="1303.1400000000001"/>
  </r>
  <r>
    <s v="ORD200661"/>
    <d v="2025-02-28T00:00:00"/>
    <s v="C63657"/>
    <s v="Tablet"/>
    <n v="3"/>
    <n v="424.89"/>
    <s v="116 Main St"/>
    <x v="0"/>
    <s v="Cancelled"/>
    <s v="TRK86378984"/>
    <n v="6"/>
    <s v="FREESHIP"/>
    <x v="4"/>
    <n v="1274.67"/>
  </r>
  <r>
    <s v="ORD200662"/>
    <d v="2023-01-28T00:00:00"/>
    <s v="C98332"/>
    <s v="Laptop"/>
    <n v="3"/>
    <n v="438.89"/>
    <s v="985 Main St"/>
    <x v="4"/>
    <s v="Returned"/>
    <s v="TRK85744797"/>
    <n v="3"/>
    <m/>
    <x v="3"/>
    <n v="1316.67"/>
  </r>
  <r>
    <s v="ORD200663"/>
    <d v="2024-04-15T00:00:00"/>
    <s v="C59774"/>
    <s v="Monitor"/>
    <n v="1"/>
    <n v="72.599999999999994"/>
    <s v="941 Main St"/>
    <x v="0"/>
    <s v="Cancelled"/>
    <s v="TRK87635135"/>
    <n v="6"/>
    <s v="FREESHIP"/>
    <x v="0"/>
    <n v="72.599999999999994"/>
  </r>
  <r>
    <s v="ORD200664"/>
    <d v="2024-12-19T00:00:00"/>
    <s v="C14847"/>
    <s v="Laptop"/>
    <n v="4"/>
    <n v="194.75"/>
    <s v="188 Main St"/>
    <x v="4"/>
    <s v="Shipped"/>
    <s v="TRK46492755"/>
    <n v="5"/>
    <m/>
    <x v="3"/>
    <n v="779"/>
  </r>
  <r>
    <s v="ORD200665"/>
    <d v="2023-05-02T00:00:00"/>
    <s v="C83653"/>
    <s v="Tablet"/>
    <n v="4"/>
    <n v="231.26"/>
    <s v="253 Main St"/>
    <x v="1"/>
    <s v="Shipped"/>
    <s v="TRK32619935"/>
    <n v="6"/>
    <s v="WINTER15"/>
    <x v="4"/>
    <n v="925.04"/>
  </r>
  <r>
    <s v="ORD200666"/>
    <d v="2024-08-31T00:00:00"/>
    <s v="C35711"/>
    <s v="Monitor"/>
    <n v="4"/>
    <n v="327.12"/>
    <s v="788 Main St"/>
    <x v="2"/>
    <s v="Cancelled"/>
    <s v="TRK45281495"/>
    <n v="4"/>
    <m/>
    <x v="2"/>
    <n v="1308.48"/>
  </r>
  <r>
    <s v="ORD200667"/>
    <d v="2023-05-03T00:00:00"/>
    <s v="C10477"/>
    <s v="Laptop"/>
    <n v="1"/>
    <n v="466.42"/>
    <s v="172 Main St"/>
    <x v="3"/>
    <s v="Pending"/>
    <s v="TRK41505339"/>
    <n v="5"/>
    <s v="SAVE10"/>
    <x v="2"/>
    <n v="466.42"/>
  </r>
  <r>
    <s v="ORD200668"/>
    <d v="2024-07-05T00:00:00"/>
    <s v="C61257"/>
    <s v="Monitor"/>
    <n v="2"/>
    <n v="253.67"/>
    <s v="981 Main St"/>
    <x v="4"/>
    <s v="Returned"/>
    <s v="TRK25226070"/>
    <n v="3"/>
    <s v="WINTER15"/>
    <x v="3"/>
    <n v="507.34"/>
  </r>
  <r>
    <s v="ORD200669"/>
    <d v="2023-02-05T00:00:00"/>
    <s v="C60547"/>
    <s v="Desk"/>
    <n v="1"/>
    <n v="257"/>
    <s v="812 Main St"/>
    <x v="0"/>
    <s v="Cancelled"/>
    <s v="TRK65694249"/>
    <n v="5"/>
    <m/>
    <x v="1"/>
    <n v="257"/>
  </r>
  <r>
    <s v="ORD200670"/>
    <d v="2024-04-18T00:00:00"/>
    <s v="C14576"/>
    <s v="Desk"/>
    <n v="4"/>
    <n v="539.20000000000005"/>
    <s v="747 Main St"/>
    <x v="2"/>
    <s v="Pending"/>
    <s v="TRK21637540"/>
    <n v="8"/>
    <s v="FREESHIP"/>
    <x v="4"/>
    <n v="2156.8000000000002"/>
  </r>
  <r>
    <s v="ORD200671"/>
    <d v="2023-06-15T00:00:00"/>
    <s v="C49282"/>
    <s v="Chair"/>
    <n v="5"/>
    <n v="50.74"/>
    <s v="737 Main St"/>
    <x v="3"/>
    <s v="Cancelled"/>
    <s v="TRK88653901"/>
    <n v="7"/>
    <s v="WINTER15"/>
    <x v="4"/>
    <n v="253.7"/>
  </r>
  <r>
    <s v="ORD200672"/>
    <d v="2023-05-09T00:00:00"/>
    <s v="C14017"/>
    <s v="Phone"/>
    <n v="2"/>
    <n v="624.16"/>
    <s v="984 Main St"/>
    <x v="0"/>
    <s v="Shipped"/>
    <s v="TRK71009446"/>
    <n v="2"/>
    <s v="SAVE10"/>
    <x v="0"/>
    <n v="1248.32"/>
  </r>
  <r>
    <s v="ORD200673"/>
    <d v="2023-02-21T00:00:00"/>
    <s v="C46504"/>
    <s v="Tablet"/>
    <n v="2"/>
    <n v="372.92"/>
    <s v="131 Main St"/>
    <x v="2"/>
    <s v="Delivered"/>
    <s v="TRK95024356"/>
    <n v="7"/>
    <s v="SAVE10"/>
    <x v="2"/>
    <n v="745.84"/>
  </r>
  <r>
    <s v="ORD200674"/>
    <d v="2024-01-09T00:00:00"/>
    <s v="C56928"/>
    <s v="Laptop"/>
    <n v="4"/>
    <n v="358.75"/>
    <s v="860 Main St"/>
    <x v="3"/>
    <s v="Delivered"/>
    <s v="TRK57792939"/>
    <n v="9"/>
    <s v="SAVE10"/>
    <x v="3"/>
    <n v="1435"/>
  </r>
  <r>
    <s v="ORD200675"/>
    <d v="2024-08-06T00:00:00"/>
    <s v="C97749"/>
    <s v="Desk"/>
    <n v="3"/>
    <n v="342.02"/>
    <s v="906 Main St"/>
    <x v="0"/>
    <s v="Pending"/>
    <s v="TRK90233116"/>
    <n v="5"/>
    <m/>
    <x v="2"/>
    <n v="1026.06"/>
  </r>
  <r>
    <s v="ORD200676"/>
    <d v="2025-06-23T00:00:00"/>
    <s v="C90431"/>
    <s v="Laptop"/>
    <n v="2"/>
    <n v="422.34"/>
    <s v="985 Main St"/>
    <x v="2"/>
    <s v="Cancelled"/>
    <s v="TRK44151723"/>
    <n v="4"/>
    <s v="FREESHIP"/>
    <x v="0"/>
    <n v="844.68"/>
  </r>
  <r>
    <s v="ORD200677"/>
    <d v="2025-04-03T00:00:00"/>
    <s v="C56722"/>
    <s v="Tablet"/>
    <n v="5"/>
    <n v="22.07"/>
    <s v="179 Main St"/>
    <x v="1"/>
    <s v="Cancelled"/>
    <s v="TRK78778569"/>
    <n v="7"/>
    <s v="FREESHIP"/>
    <x v="0"/>
    <n v="110.35"/>
  </r>
  <r>
    <s v="ORD200678"/>
    <d v="2024-11-24T00:00:00"/>
    <s v="C40863"/>
    <s v="Chair"/>
    <n v="3"/>
    <n v="163.13"/>
    <s v="457 Main St"/>
    <x v="3"/>
    <s v="Shipped"/>
    <s v="TRK20553345"/>
    <n v="5"/>
    <s v="WINTER15"/>
    <x v="3"/>
    <n v="489.39"/>
  </r>
  <r>
    <s v="ORD200679"/>
    <d v="2023-02-02T00:00:00"/>
    <s v="C40798"/>
    <s v="Tablet"/>
    <n v="3"/>
    <n v="360.66"/>
    <s v="304 Main St"/>
    <x v="1"/>
    <s v="Returned"/>
    <s v="TRK66106697"/>
    <n v="5"/>
    <s v="FREESHIP"/>
    <x v="0"/>
    <n v="1081.98"/>
  </r>
  <r>
    <s v="ORD200680"/>
    <d v="2023-08-27T00:00:00"/>
    <s v="C16702"/>
    <s v="Monitor"/>
    <n v="3"/>
    <n v="463.39"/>
    <s v="694 Main St"/>
    <x v="2"/>
    <s v="Returned"/>
    <s v="TRK16953491"/>
    <n v="3"/>
    <m/>
    <x v="3"/>
    <n v="1390.17"/>
  </r>
  <r>
    <s v="ORD200681"/>
    <d v="2024-01-30T00:00:00"/>
    <s v="C38262"/>
    <s v="Tablet"/>
    <n v="1"/>
    <n v="155.27000000000001"/>
    <s v="548 Main St"/>
    <x v="0"/>
    <s v="Shipped"/>
    <s v="TRK47300502"/>
    <n v="6"/>
    <m/>
    <x v="2"/>
    <n v="155.27000000000001"/>
  </r>
  <r>
    <s v="ORD200682"/>
    <d v="2023-07-23T00:00:00"/>
    <s v="C50274"/>
    <s v="Monitor"/>
    <n v="3"/>
    <n v="509.42"/>
    <s v="449 Main St"/>
    <x v="2"/>
    <s v="Cancelled"/>
    <s v="TRK91729086"/>
    <n v="5"/>
    <s v="FREESHIP"/>
    <x v="4"/>
    <n v="1528.26"/>
  </r>
  <r>
    <s v="ORD200683"/>
    <d v="2025-05-18T00:00:00"/>
    <s v="C91591"/>
    <s v="Desk"/>
    <n v="4"/>
    <n v="652.48"/>
    <s v="887 Main St"/>
    <x v="4"/>
    <s v="Pending"/>
    <s v="TRK23554043"/>
    <n v="5"/>
    <s v="FREESHIP"/>
    <x v="0"/>
    <n v="2609.92"/>
  </r>
  <r>
    <s v="ORD200684"/>
    <d v="2024-09-22T00:00:00"/>
    <s v="C96583"/>
    <s v="Printer"/>
    <n v="4"/>
    <n v="34.840000000000003"/>
    <s v="288 Main St"/>
    <x v="2"/>
    <s v="Shipped"/>
    <s v="TRK64353241"/>
    <n v="8"/>
    <m/>
    <x v="2"/>
    <n v="139.36000000000001"/>
  </r>
  <r>
    <s v="ORD200685"/>
    <d v="2025-02-07T00:00:00"/>
    <s v="C64579"/>
    <s v="Desk"/>
    <n v="1"/>
    <n v="234.37"/>
    <s v="638 Main St"/>
    <x v="0"/>
    <s v="Shipped"/>
    <s v="TRK10276565"/>
    <n v="5"/>
    <s v="FREESHIP"/>
    <x v="2"/>
    <n v="234.37"/>
  </r>
  <r>
    <s v="ORD200686"/>
    <d v="2023-10-09T00:00:00"/>
    <s v="C41903"/>
    <s v="Desk"/>
    <n v="3"/>
    <n v="53.6"/>
    <s v="525 Main St"/>
    <x v="4"/>
    <s v="Pending"/>
    <s v="TRK59112382"/>
    <n v="4"/>
    <s v="WINTER15"/>
    <x v="3"/>
    <n v="160.80000000000001"/>
  </r>
  <r>
    <s v="ORD200687"/>
    <d v="2023-09-13T00:00:00"/>
    <s v="C19742"/>
    <s v="Tablet"/>
    <n v="1"/>
    <n v="332.09"/>
    <s v="408 Main St"/>
    <x v="3"/>
    <s v="Returned"/>
    <s v="TRK68845230"/>
    <n v="5"/>
    <s v="FREESHIP"/>
    <x v="0"/>
    <n v="332.09"/>
  </r>
  <r>
    <s v="ORD200688"/>
    <d v="2024-03-06T00:00:00"/>
    <s v="C20077"/>
    <s v="Monitor"/>
    <n v="4"/>
    <n v="593.22"/>
    <s v="154 Main St"/>
    <x v="2"/>
    <s v="Cancelled"/>
    <s v="TRK36415742"/>
    <n v="8"/>
    <s v="WINTER15"/>
    <x v="3"/>
    <n v="2372.88"/>
  </r>
  <r>
    <s v="ORD200689"/>
    <d v="2023-08-29T00:00:00"/>
    <s v="C13186"/>
    <s v="Tablet"/>
    <n v="2"/>
    <n v="444.84"/>
    <s v="787 Main St"/>
    <x v="1"/>
    <s v="Shipped"/>
    <s v="TRK56967415"/>
    <n v="7"/>
    <m/>
    <x v="3"/>
    <n v="889.68"/>
  </r>
  <r>
    <s v="ORD200690"/>
    <d v="2024-07-12T00:00:00"/>
    <s v="C29318"/>
    <s v="Monitor"/>
    <n v="1"/>
    <n v="24.48"/>
    <s v="128 Main St"/>
    <x v="3"/>
    <s v="Returned"/>
    <s v="TRK88666721"/>
    <n v="1"/>
    <m/>
    <x v="0"/>
    <n v="24.48"/>
  </r>
  <r>
    <s v="ORD200691"/>
    <d v="2024-11-24T00:00:00"/>
    <s v="C36137"/>
    <s v="Laptop"/>
    <n v="3"/>
    <n v="239.08"/>
    <s v="396 Main St"/>
    <x v="4"/>
    <s v="Shipped"/>
    <s v="TRK57376416"/>
    <n v="8"/>
    <m/>
    <x v="4"/>
    <n v="717.24"/>
  </r>
  <r>
    <s v="ORD200692"/>
    <d v="2023-01-23T00:00:00"/>
    <s v="C25534"/>
    <s v="Desk"/>
    <n v="5"/>
    <n v="196.84"/>
    <s v="319 Main St"/>
    <x v="2"/>
    <s v="Delivered"/>
    <s v="TRK68347402"/>
    <n v="5"/>
    <s v="WINTER15"/>
    <x v="0"/>
    <n v="984.2"/>
  </r>
  <r>
    <s v="ORD200693"/>
    <d v="2025-03-12T00:00:00"/>
    <s v="C62070"/>
    <s v="Monitor"/>
    <n v="1"/>
    <n v="176.58"/>
    <s v="674 Main St"/>
    <x v="0"/>
    <s v="Returned"/>
    <s v="TRK10267127"/>
    <n v="4"/>
    <m/>
    <x v="1"/>
    <n v="176.58"/>
  </r>
  <r>
    <s v="ORD200694"/>
    <d v="2023-10-02T00:00:00"/>
    <s v="C92049"/>
    <s v="Printer"/>
    <n v="4"/>
    <n v="666.52"/>
    <s v="619 Main St"/>
    <x v="4"/>
    <s v="Shipped"/>
    <s v="TRK32287092"/>
    <n v="8"/>
    <s v="FREESHIP"/>
    <x v="2"/>
    <n v="2666.08"/>
  </r>
  <r>
    <s v="ORD200695"/>
    <d v="2024-11-23T00:00:00"/>
    <s v="C52604"/>
    <s v="Printer"/>
    <n v="5"/>
    <n v="101.3"/>
    <s v="553 Main St"/>
    <x v="1"/>
    <s v="Shipped"/>
    <s v="TRK48839788"/>
    <n v="7"/>
    <s v="FREESHIP"/>
    <x v="2"/>
    <n v="506.5"/>
  </r>
  <r>
    <s v="ORD200696"/>
    <d v="2023-07-02T00:00:00"/>
    <s v="C22429"/>
    <s v="Chair"/>
    <n v="4"/>
    <n v="151.19999999999999"/>
    <s v="965 Main St"/>
    <x v="3"/>
    <s v="Pending"/>
    <s v="TRK38572927"/>
    <n v="9"/>
    <s v="WINTER15"/>
    <x v="3"/>
    <n v="604.79999999999995"/>
  </r>
  <r>
    <s v="ORD200697"/>
    <d v="2025-02-04T00:00:00"/>
    <s v="C27430"/>
    <s v="Printer"/>
    <n v="5"/>
    <n v="94.85"/>
    <s v="788 Main St"/>
    <x v="4"/>
    <s v="Shipped"/>
    <s v="TRK45025840"/>
    <n v="6"/>
    <s v="WINTER15"/>
    <x v="2"/>
    <n v="474.25"/>
  </r>
  <r>
    <s v="ORD200698"/>
    <d v="2023-01-04T00:00:00"/>
    <s v="C44366"/>
    <s v="Laptop"/>
    <n v="2"/>
    <n v="388.22"/>
    <s v="169 Main St"/>
    <x v="4"/>
    <s v="Delivered"/>
    <s v="TRK48658394"/>
    <n v="2"/>
    <s v="WINTER15"/>
    <x v="0"/>
    <n v="776.44"/>
  </r>
  <r>
    <s v="ORD200699"/>
    <d v="2023-11-13T00:00:00"/>
    <s v="C36813"/>
    <s v="Laptop"/>
    <n v="3"/>
    <n v="614.15"/>
    <s v="897 Main St"/>
    <x v="3"/>
    <s v="Cancelled"/>
    <s v="TRK84088900"/>
    <n v="3"/>
    <m/>
    <x v="3"/>
    <n v="1842.45"/>
  </r>
  <r>
    <s v="ORD200700"/>
    <d v="2024-09-25T00:00:00"/>
    <s v="C40201"/>
    <s v="Laptop"/>
    <n v="2"/>
    <n v="92.91"/>
    <s v="555 Main St"/>
    <x v="4"/>
    <s v="Returned"/>
    <s v="TRK30198779"/>
    <n v="3"/>
    <s v="WINTER15"/>
    <x v="0"/>
    <n v="185.82"/>
  </r>
  <r>
    <s v="ORD200701"/>
    <d v="2024-06-23T00:00:00"/>
    <s v="C75456"/>
    <s v="Monitor"/>
    <n v="3"/>
    <n v="92.22"/>
    <s v="115 Main St"/>
    <x v="2"/>
    <s v="Delivered"/>
    <s v="TRK90519490"/>
    <n v="5"/>
    <s v="FREESHIP"/>
    <x v="2"/>
    <n v="276.66000000000003"/>
  </r>
  <r>
    <s v="ORD200702"/>
    <d v="2024-06-09T00:00:00"/>
    <s v="C33315"/>
    <s v="Printer"/>
    <n v="3"/>
    <n v="562.54999999999995"/>
    <s v="154 Main St"/>
    <x v="0"/>
    <s v="Returned"/>
    <s v="TRK43589369"/>
    <n v="6"/>
    <m/>
    <x v="2"/>
    <n v="1687.65"/>
  </r>
  <r>
    <s v="ORD200703"/>
    <d v="2023-03-22T00:00:00"/>
    <s v="C89336"/>
    <s v="Desk"/>
    <n v="1"/>
    <n v="92.79"/>
    <s v="799 Main St"/>
    <x v="4"/>
    <s v="Pending"/>
    <s v="TRK47665103"/>
    <n v="3"/>
    <s v="WINTER15"/>
    <x v="2"/>
    <n v="92.79"/>
  </r>
  <r>
    <s v="ORD200704"/>
    <d v="2023-06-03T00:00:00"/>
    <s v="C96034"/>
    <s v="Desk"/>
    <n v="4"/>
    <n v="30.27"/>
    <s v="819 Main St"/>
    <x v="1"/>
    <s v="Delivered"/>
    <s v="TRK87261034"/>
    <n v="9"/>
    <s v="FREESHIP"/>
    <x v="4"/>
    <n v="121.08"/>
  </r>
  <r>
    <s v="ORD200705"/>
    <d v="2025-03-30T00:00:00"/>
    <s v="C50114"/>
    <s v="Monitor"/>
    <n v="2"/>
    <n v="49.08"/>
    <s v="420 Main St"/>
    <x v="0"/>
    <s v="Returned"/>
    <s v="TRK20214786"/>
    <n v="7"/>
    <s v="FREESHIP"/>
    <x v="0"/>
    <n v="98.16"/>
  </r>
  <r>
    <s v="ORD200706"/>
    <d v="2025-03-02T00:00:00"/>
    <s v="C85330"/>
    <s v="Desk"/>
    <n v="5"/>
    <n v="228.09"/>
    <s v="969 Main St"/>
    <x v="3"/>
    <s v="Returned"/>
    <s v="TRK97693301"/>
    <n v="9"/>
    <s v="FREESHIP"/>
    <x v="3"/>
    <n v="1140.45"/>
  </r>
  <r>
    <s v="ORD200707"/>
    <d v="2024-11-01T00:00:00"/>
    <s v="C31761"/>
    <s v="Chair"/>
    <n v="4"/>
    <n v="650.04"/>
    <s v="989 Main St"/>
    <x v="3"/>
    <s v="Cancelled"/>
    <s v="TRK17628852"/>
    <n v="6"/>
    <s v="SAVE10"/>
    <x v="3"/>
    <n v="2600.16"/>
  </r>
  <r>
    <s v="ORD200708"/>
    <d v="2025-03-04T00:00:00"/>
    <s v="C25268"/>
    <s v="Printer"/>
    <n v="1"/>
    <n v="665.11"/>
    <s v="788 Main St"/>
    <x v="4"/>
    <s v="Pending"/>
    <s v="TRK20481215"/>
    <n v="3"/>
    <s v="FREESHIP"/>
    <x v="0"/>
    <n v="665.11"/>
  </r>
  <r>
    <s v="ORD200709"/>
    <d v="2024-12-07T00:00:00"/>
    <s v="C17132"/>
    <s v="Desk"/>
    <n v="1"/>
    <n v="386.03"/>
    <s v="855 Main St"/>
    <x v="1"/>
    <s v="Pending"/>
    <s v="TRK37504692"/>
    <n v="4"/>
    <s v="FREESHIP"/>
    <x v="4"/>
    <n v="386.03"/>
  </r>
  <r>
    <s v="ORD200710"/>
    <d v="2024-07-22T00:00:00"/>
    <s v="C48790"/>
    <s v="Laptop"/>
    <n v="5"/>
    <n v="21.54"/>
    <s v="113 Main St"/>
    <x v="3"/>
    <s v="Returned"/>
    <s v="TRK19086608"/>
    <n v="10"/>
    <m/>
    <x v="4"/>
    <n v="107.7"/>
  </r>
  <r>
    <s v="ORD200711"/>
    <d v="2024-07-04T00:00:00"/>
    <s v="C61070"/>
    <s v="Tablet"/>
    <n v="2"/>
    <n v="475.78"/>
    <s v="632 Main St"/>
    <x v="1"/>
    <s v="Shipped"/>
    <s v="TRK90764894"/>
    <n v="2"/>
    <s v="WINTER15"/>
    <x v="4"/>
    <n v="951.56"/>
  </r>
  <r>
    <s v="ORD200712"/>
    <d v="2024-01-09T00:00:00"/>
    <s v="C56969"/>
    <s v="Tablet"/>
    <n v="2"/>
    <n v="68.400000000000006"/>
    <s v="993 Main St"/>
    <x v="3"/>
    <s v="Pending"/>
    <s v="TRK10513339"/>
    <n v="7"/>
    <s v="FREESHIP"/>
    <x v="2"/>
    <n v="136.80000000000001"/>
  </r>
  <r>
    <s v="ORD200713"/>
    <d v="2025-06-21T00:00:00"/>
    <s v="C65056"/>
    <s v="Tablet"/>
    <n v="4"/>
    <n v="532.49"/>
    <s v="638 Main St"/>
    <x v="1"/>
    <s v="Cancelled"/>
    <s v="TRK31705278"/>
    <n v="6"/>
    <s v="SAVE10"/>
    <x v="3"/>
    <n v="2129.96"/>
  </r>
  <r>
    <s v="ORD200714"/>
    <d v="2023-04-21T00:00:00"/>
    <s v="C84888"/>
    <s v="Laptop"/>
    <n v="1"/>
    <n v="51.73"/>
    <s v="278 Main St"/>
    <x v="0"/>
    <s v="Pending"/>
    <s v="TRK23612847"/>
    <n v="1"/>
    <s v="FREESHIP"/>
    <x v="3"/>
    <n v="51.73"/>
  </r>
  <r>
    <s v="ORD200715"/>
    <d v="2024-07-26T00:00:00"/>
    <s v="C68266"/>
    <s v="Printer"/>
    <n v="3"/>
    <n v="653.63"/>
    <s v="281 Main St"/>
    <x v="1"/>
    <s v="Delivered"/>
    <s v="TRK96161062"/>
    <n v="7"/>
    <s v="FREESHIP"/>
    <x v="2"/>
    <n v="1960.89"/>
  </r>
  <r>
    <s v="ORD200716"/>
    <d v="2024-06-13T00:00:00"/>
    <s v="C84115"/>
    <s v="Chair"/>
    <n v="3"/>
    <n v="454.29"/>
    <s v="891 Main St"/>
    <x v="2"/>
    <s v="Pending"/>
    <s v="TRK25466842"/>
    <n v="4"/>
    <s v="WINTER15"/>
    <x v="4"/>
    <n v="1362.87"/>
  </r>
  <r>
    <s v="ORD200717"/>
    <d v="2023-10-16T00:00:00"/>
    <s v="C50087"/>
    <s v="Chair"/>
    <n v="3"/>
    <n v="122.11"/>
    <s v="707 Main St"/>
    <x v="1"/>
    <s v="Delivered"/>
    <s v="TRK31143760"/>
    <n v="4"/>
    <s v="WINTER15"/>
    <x v="2"/>
    <n v="366.33"/>
  </r>
  <r>
    <s v="ORD200718"/>
    <d v="2023-04-08T00:00:00"/>
    <s v="C16790"/>
    <s v="Laptop"/>
    <n v="4"/>
    <n v="64.739999999999995"/>
    <s v="718 Main St"/>
    <x v="3"/>
    <s v="Cancelled"/>
    <s v="TRK91791367"/>
    <n v="8"/>
    <s v="SAVE10"/>
    <x v="4"/>
    <n v="258.95999999999998"/>
  </r>
  <r>
    <s v="ORD200719"/>
    <d v="2024-01-21T00:00:00"/>
    <s v="C46920"/>
    <s v="Laptop"/>
    <n v="2"/>
    <n v="681.06"/>
    <s v="703 Main St"/>
    <x v="0"/>
    <s v="Shipped"/>
    <s v="TRK86403837"/>
    <n v="3"/>
    <s v="FREESHIP"/>
    <x v="3"/>
    <n v="1362.12"/>
  </r>
  <r>
    <s v="ORD200720"/>
    <d v="2023-09-21T00:00:00"/>
    <s v="C12740"/>
    <s v="Desk"/>
    <n v="5"/>
    <n v="128.94999999999999"/>
    <s v="305 Main St"/>
    <x v="4"/>
    <s v="Pending"/>
    <s v="TRK98506513"/>
    <n v="10"/>
    <s v="FREESHIP"/>
    <x v="0"/>
    <n v="644.75"/>
  </r>
  <r>
    <s v="ORD200721"/>
    <d v="2024-03-18T00:00:00"/>
    <s v="C46557"/>
    <s v="Desk"/>
    <n v="2"/>
    <n v="118.59"/>
    <s v="890 Main St"/>
    <x v="2"/>
    <s v="Delivered"/>
    <s v="TRK56110689"/>
    <n v="2"/>
    <m/>
    <x v="2"/>
    <n v="237.18"/>
  </r>
  <r>
    <s v="ORD200722"/>
    <d v="2024-11-15T00:00:00"/>
    <s v="C58156"/>
    <s v="Printer"/>
    <n v="1"/>
    <n v="95.1"/>
    <s v="516 Main St"/>
    <x v="3"/>
    <s v="Pending"/>
    <s v="TRK49719458"/>
    <n v="1"/>
    <s v="WINTER15"/>
    <x v="0"/>
    <n v="95.1"/>
  </r>
  <r>
    <s v="ORD200723"/>
    <d v="2023-12-09T00:00:00"/>
    <s v="C14455"/>
    <s v="Desk"/>
    <n v="3"/>
    <n v="54.95"/>
    <s v="385 Main St"/>
    <x v="4"/>
    <s v="Returned"/>
    <s v="TRK50933724"/>
    <n v="8"/>
    <s v="SAVE10"/>
    <x v="1"/>
    <n v="164.85"/>
  </r>
  <r>
    <s v="ORD200724"/>
    <d v="2024-10-18T00:00:00"/>
    <s v="C63150"/>
    <s v="Printer"/>
    <n v="3"/>
    <n v="136.97"/>
    <s v="326 Main St"/>
    <x v="2"/>
    <s v="Returned"/>
    <s v="TRK19348078"/>
    <n v="4"/>
    <s v="FREESHIP"/>
    <x v="1"/>
    <n v="410.91"/>
  </r>
  <r>
    <s v="ORD200725"/>
    <d v="2023-03-12T00:00:00"/>
    <s v="C95269"/>
    <s v="Chair"/>
    <n v="2"/>
    <n v="194.85"/>
    <s v="372 Main St"/>
    <x v="3"/>
    <s v="Returned"/>
    <s v="TRK45670926"/>
    <n v="5"/>
    <m/>
    <x v="1"/>
    <n v="389.7"/>
  </r>
  <r>
    <s v="ORD200726"/>
    <d v="2024-10-25T00:00:00"/>
    <s v="C18105"/>
    <s v="Laptop"/>
    <n v="4"/>
    <n v="583.02"/>
    <s v="338 Main St"/>
    <x v="1"/>
    <s v="Delivered"/>
    <s v="TRK94006117"/>
    <n v="4"/>
    <s v="FREESHIP"/>
    <x v="3"/>
    <n v="2332.08"/>
  </r>
  <r>
    <s v="ORD200727"/>
    <d v="2024-09-29T00:00:00"/>
    <s v="C29063"/>
    <s v="Chair"/>
    <n v="5"/>
    <n v="95.75"/>
    <s v="379 Main St"/>
    <x v="1"/>
    <s v="Shipped"/>
    <s v="TRK92745947"/>
    <n v="8"/>
    <s v="SAVE10"/>
    <x v="0"/>
    <n v="478.75"/>
  </r>
  <r>
    <s v="ORD200728"/>
    <d v="2024-07-29T00:00:00"/>
    <s v="C10154"/>
    <s v="Desk"/>
    <n v="4"/>
    <n v="325.76"/>
    <s v="827 Main St"/>
    <x v="3"/>
    <s v="Shipped"/>
    <s v="TRK79793300"/>
    <n v="8"/>
    <s v="WINTER15"/>
    <x v="2"/>
    <n v="1303.04"/>
  </r>
  <r>
    <s v="ORD200729"/>
    <d v="2023-09-08T00:00:00"/>
    <s v="C36997"/>
    <s v="Phone"/>
    <n v="4"/>
    <n v="186.41"/>
    <s v="819 Main St"/>
    <x v="3"/>
    <s v="Pending"/>
    <s v="TRK92794872"/>
    <n v="6"/>
    <s v="SAVE10"/>
    <x v="4"/>
    <n v="745.64"/>
  </r>
  <r>
    <s v="ORD200730"/>
    <d v="2025-02-22T00:00:00"/>
    <s v="C77357"/>
    <s v="Phone"/>
    <n v="1"/>
    <n v="474.6"/>
    <s v="407 Main St"/>
    <x v="0"/>
    <s v="Delivered"/>
    <s v="TRK91943923"/>
    <n v="4"/>
    <s v="SAVE10"/>
    <x v="2"/>
    <n v="474.6"/>
  </r>
  <r>
    <s v="ORD200731"/>
    <d v="2024-06-07T00:00:00"/>
    <s v="C71310"/>
    <s v="Printer"/>
    <n v="5"/>
    <n v="584.46"/>
    <s v="308 Main St"/>
    <x v="2"/>
    <s v="Returned"/>
    <s v="TRK48292586"/>
    <n v="8"/>
    <m/>
    <x v="2"/>
    <n v="2922.3"/>
  </r>
  <r>
    <s v="ORD200732"/>
    <d v="2025-03-07T00:00:00"/>
    <s v="C80987"/>
    <s v="Laptop"/>
    <n v="1"/>
    <n v="132.05000000000001"/>
    <s v="787 Main St"/>
    <x v="1"/>
    <s v="Delivered"/>
    <s v="TRK42187776"/>
    <n v="2"/>
    <m/>
    <x v="4"/>
    <n v="132.05000000000001"/>
  </r>
  <r>
    <s v="ORD200733"/>
    <d v="2023-12-04T00:00:00"/>
    <s v="C90757"/>
    <s v="Tablet"/>
    <n v="4"/>
    <n v="494.84"/>
    <s v="694 Main St"/>
    <x v="4"/>
    <s v="Returned"/>
    <s v="TRK87991608"/>
    <n v="8"/>
    <s v="SAVE10"/>
    <x v="2"/>
    <n v="1979.36"/>
  </r>
  <r>
    <s v="ORD200734"/>
    <d v="2024-01-23T00:00:00"/>
    <s v="C51898"/>
    <s v="Printer"/>
    <n v="4"/>
    <n v="224.61"/>
    <s v="630 Main St"/>
    <x v="2"/>
    <s v="Returned"/>
    <s v="TRK19767885"/>
    <n v="6"/>
    <s v="WINTER15"/>
    <x v="3"/>
    <n v="898.44"/>
  </r>
  <r>
    <s v="ORD200735"/>
    <d v="2024-06-28T00:00:00"/>
    <s v="C94508"/>
    <s v="Monitor"/>
    <n v="4"/>
    <n v="44.07"/>
    <s v="359 Main St"/>
    <x v="0"/>
    <s v="Pending"/>
    <s v="TRK13443264"/>
    <n v="6"/>
    <m/>
    <x v="2"/>
    <n v="176.28"/>
  </r>
  <r>
    <s v="ORD200736"/>
    <d v="2024-02-09T00:00:00"/>
    <s v="C59441"/>
    <s v="Monitor"/>
    <n v="5"/>
    <n v="418.53"/>
    <s v="696 Main St"/>
    <x v="2"/>
    <s v="Pending"/>
    <s v="TRK66186874"/>
    <n v="6"/>
    <s v="FREESHIP"/>
    <x v="4"/>
    <n v="2092.65"/>
  </r>
  <r>
    <s v="ORD200737"/>
    <d v="2024-01-03T00:00:00"/>
    <s v="C91029"/>
    <s v="Phone"/>
    <n v="4"/>
    <n v="532.87"/>
    <s v="972 Main St"/>
    <x v="4"/>
    <s v="Pending"/>
    <s v="TRK25501930"/>
    <n v="9"/>
    <s v="FREESHIP"/>
    <x v="0"/>
    <n v="2131.48"/>
  </r>
  <r>
    <s v="ORD200738"/>
    <d v="2025-06-04T00:00:00"/>
    <s v="C96261"/>
    <s v="Phone"/>
    <n v="2"/>
    <n v="485.37"/>
    <s v="264 Main St"/>
    <x v="2"/>
    <s v="Shipped"/>
    <s v="TRK44998396"/>
    <n v="5"/>
    <s v="SAVE10"/>
    <x v="2"/>
    <n v="970.74"/>
  </r>
  <r>
    <s v="ORD200739"/>
    <d v="2024-06-13T00:00:00"/>
    <s v="C35123"/>
    <s v="Phone"/>
    <n v="4"/>
    <n v="386.73"/>
    <s v="513 Main St"/>
    <x v="4"/>
    <s v="Delivered"/>
    <s v="TRK58979275"/>
    <n v="4"/>
    <s v="SAVE10"/>
    <x v="3"/>
    <n v="1546.92"/>
  </r>
  <r>
    <s v="ORD200740"/>
    <d v="2024-07-20T00:00:00"/>
    <s v="C10892"/>
    <s v="Desk"/>
    <n v="2"/>
    <n v="377.47"/>
    <s v="433 Main St"/>
    <x v="4"/>
    <s v="Pending"/>
    <s v="TRK76154554"/>
    <n v="7"/>
    <m/>
    <x v="4"/>
    <n v="754.94"/>
  </r>
  <r>
    <s v="ORD200741"/>
    <d v="2025-01-23T00:00:00"/>
    <s v="C99683"/>
    <s v="Monitor"/>
    <n v="5"/>
    <n v="332.64"/>
    <s v="945 Main St"/>
    <x v="3"/>
    <s v="Delivered"/>
    <s v="TRK87305883"/>
    <n v="10"/>
    <m/>
    <x v="1"/>
    <n v="1663.2"/>
  </r>
  <r>
    <s v="ORD200742"/>
    <d v="2024-11-30T00:00:00"/>
    <s v="C41974"/>
    <s v="Laptop"/>
    <n v="3"/>
    <n v="699.93"/>
    <s v="726 Main St"/>
    <x v="4"/>
    <s v="Returned"/>
    <s v="TRK48051468"/>
    <n v="7"/>
    <s v="SAVE10"/>
    <x v="4"/>
    <n v="2099.79"/>
  </r>
  <r>
    <s v="ORD200743"/>
    <d v="2024-09-30T00:00:00"/>
    <s v="C23978"/>
    <s v="Monitor"/>
    <n v="1"/>
    <n v="576.35"/>
    <s v="549 Main St"/>
    <x v="3"/>
    <s v="Returned"/>
    <s v="TRK87090813"/>
    <n v="1"/>
    <s v="WINTER15"/>
    <x v="0"/>
    <n v="576.35"/>
  </r>
  <r>
    <s v="ORD200744"/>
    <d v="2024-06-12T00:00:00"/>
    <s v="C10642"/>
    <s v="Tablet"/>
    <n v="2"/>
    <n v="461.37"/>
    <s v="200 Main St"/>
    <x v="4"/>
    <s v="Delivered"/>
    <s v="TRK98725693"/>
    <n v="5"/>
    <s v="SAVE10"/>
    <x v="4"/>
    <n v="922.74"/>
  </r>
  <r>
    <s v="ORD200745"/>
    <d v="2023-03-02T00:00:00"/>
    <s v="C73813"/>
    <s v="Printer"/>
    <n v="4"/>
    <n v="111.3"/>
    <s v="364 Main St"/>
    <x v="0"/>
    <s v="Pending"/>
    <s v="TRK89906749"/>
    <n v="7"/>
    <s v="FREESHIP"/>
    <x v="2"/>
    <n v="445.2"/>
  </r>
  <r>
    <s v="ORD200746"/>
    <d v="2025-02-24T00:00:00"/>
    <s v="C32183"/>
    <s v="Desk"/>
    <n v="3"/>
    <n v="661.89"/>
    <s v="551 Main St"/>
    <x v="1"/>
    <s v="Cancelled"/>
    <s v="TRK76287027"/>
    <n v="6"/>
    <s v="WINTER15"/>
    <x v="1"/>
    <n v="1985.67"/>
  </r>
  <r>
    <s v="ORD200747"/>
    <d v="2025-03-12T00:00:00"/>
    <s v="C54277"/>
    <s v="Tablet"/>
    <n v="2"/>
    <n v="259.58"/>
    <s v="940 Main St"/>
    <x v="0"/>
    <s v="Delivered"/>
    <s v="TRK26500181"/>
    <n v="7"/>
    <s v="FREESHIP"/>
    <x v="0"/>
    <n v="519.16"/>
  </r>
  <r>
    <s v="ORD200748"/>
    <d v="2024-07-15T00:00:00"/>
    <s v="C56553"/>
    <s v="Tablet"/>
    <n v="3"/>
    <n v="70.81"/>
    <s v="249 Main St"/>
    <x v="2"/>
    <s v="Shipped"/>
    <s v="TRK37667360"/>
    <n v="8"/>
    <s v="FREESHIP"/>
    <x v="1"/>
    <n v="212.43"/>
  </r>
  <r>
    <s v="ORD200749"/>
    <d v="2025-04-13T00:00:00"/>
    <s v="C17551"/>
    <s v="Laptop"/>
    <n v="1"/>
    <n v="518.39"/>
    <s v="997 Main St"/>
    <x v="0"/>
    <s v="Pending"/>
    <s v="TRK88797170"/>
    <n v="4"/>
    <s v="FREESHIP"/>
    <x v="0"/>
    <n v="518.39"/>
  </r>
  <r>
    <s v="ORD200750"/>
    <d v="2023-01-14T00:00:00"/>
    <s v="C14737"/>
    <s v="Tablet"/>
    <n v="4"/>
    <n v="145.41"/>
    <s v="637 Main St"/>
    <x v="2"/>
    <s v="Returned"/>
    <s v="TRK10295115"/>
    <n v="7"/>
    <s v="FREESHIP"/>
    <x v="2"/>
    <n v="581.64"/>
  </r>
  <r>
    <s v="ORD200751"/>
    <d v="2023-01-24T00:00:00"/>
    <s v="C35168"/>
    <s v="Tablet"/>
    <n v="2"/>
    <n v="599.86"/>
    <s v="455 Main St"/>
    <x v="3"/>
    <s v="Pending"/>
    <s v="TRK76960854"/>
    <n v="7"/>
    <s v="FREESHIP"/>
    <x v="3"/>
    <n v="1199.72"/>
  </r>
  <r>
    <s v="ORD200752"/>
    <d v="2024-10-03T00:00:00"/>
    <s v="C82217"/>
    <s v="Phone"/>
    <n v="4"/>
    <n v="429.37"/>
    <s v="299 Main St"/>
    <x v="2"/>
    <s v="Delivered"/>
    <s v="TRK33305694"/>
    <n v="8"/>
    <s v="FREESHIP"/>
    <x v="4"/>
    <n v="1717.48"/>
  </r>
  <r>
    <s v="ORD200753"/>
    <d v="2024-04-24T00:00:00"/>
    <s v="C42270"/>
    <s v="Phone"/>
    <n v="2"/>
    <n v="241.49"/>
    <s v="864 Main St"/>
    <x v="0"/>
    <s v="Returned"/>
    <s v="TRK72697796"/>
    <n v="7"/>
    <s v="FREESHIP"/>
    <x v="0"/>
    <n v="482.98"/>
  </r>
  <r>
    <s v="ORD200754"/>
    <d v="2025-05-31T00:00:00"/>
    <s v="C48846"/>
    <s v="Printer"/>
    <n v="2"/>
    <n v="452.05"/>
    <s v="983 Main St"/>
    <x v="2"/>
    <s v="Returned"/>
    <s v="TRK52804097"/>
    <n v="3"/>
    <s v="WINTER15"/>
    <x v="2"/>
    <n v="904.1"/>
  </r>
  <r>
    <s v="ORD200755"/>
    <d v="2023-06-13T00:00:00"/>
    <s v="C54160"/>
    <s v="Desk"/>
    <n v="3"/>
    <n v="336.71"/>
    <s v="658 Main St"/>
    <x v="2"/>
    <s v="Pending"/>
    <s v="TRK60515972"/>
    <n v="4"/>
    <m/>
    <x v="2"/>
    <n v="1010.13"/>
  </r>
  <r>
    <s v="ORD200756"/>
    <d v="2024-06-27T00:00:00"/>
    <s v="C14080"/>
    <s v="Phone"/>
    <n v="1"/>
    <n v="283.69"/>
    <s v="202 Main St"/>
    <x v="3"/>
    <s v="Shipped"/>
    <s v="TRK93163682"/>
    <n v="6"/>
    <m/>
    <x v="4"/>
    <n v="283.69"/>
  </r>
  <r>
    <s v="ORD200757"/>
    <d v="2024-02-22T00:00:00"/>
    <s v="C81074"/>
    <s v="Desk"/>
    <n v="1"/>
    <n v="157.72"/>
    <s v="597 Main St"/>
    <x v="0"/>
    <s v="Delivered"/>
    <s v="TRK91105190"/>
    <n v="2"/>
    <s v="FREESHIP"/>
    <x v="4"/>
    <n v="157.72"/>
  </r>
  <r>
    <s v="ORD200758"/>
    <d v="2023-03-26T00:00:00"/>
    <s v="C69021"/>
    <s v="Tablet"/>
    <n v="3"/>
    <n v="624.84"/>
    <s v="917 Main St"/>
    <x v="2"/>
    <s v="Cancelled"/>
    <s v="TRK57148510"/>
    <n v="8"/>
    <s v="WINTER15"/>
    <x v="3"/>
    <n v="1874.52"/>
  </r>
  <r>
    <s v="ORD200759"/>
    <d v="2023-07-24T00:00:00"/>
    <s v="C96283"/>
    <s v="Desk"/>
    <n v="3"/>
    <n v="308.01"/>
    <s v="366 Main St"/>
    <x v="4"/>
    <s v="Pending"/>
    <s v="TRK91784124"/>
    <n v="3"/>
    <s v="FREESHIP"/>
    <x v="3"/>
    <n v="924.03"/>
  </r>
  <r>
    <s v="ORD200760"/>
    <d v="2025-02-18T00:00:00"/>
    <s v="C96636"/>
    <s v="Desk"/>
    <n v="1"/>
    <n v="39.56"/>
    <s v="283 Main St"/>
    <x v="0"/>
    <s v="Cancelled"/>
    <s v="TRK73324346"/>
    <n v="5"/>
    <m/>
    <x v="4"/>
    <n v="39.56"/>
  </r>
  <r>
    <s v="ORD200761"/>
    <d v="2023-06-02T00:00:00"/>
    <s v="C37235"/>
    <s v="Desk"/>
    <n v="4"/>
    <n v="37.76"/>
    <s v="217 Main St"/>
    <x v="0"/>
    <s v="Delivered"/>
    <s v="TRK67789367"/>
    <n v="7"/>
    <m/>
    <x v="4"/>
    <n v="151.04"/>
  </r>
  <r>
    <s v="ORD200762"/>
    <d v="2024-09-17T00:00:00"/>
    <s v="C12444"/>
    <s v="Phone"/>
    <n v="3"/>
    <n v="76.959999999999994"/>
    <s v="611 Main St"/>
    <x v="4"/>
    <s v="Returned"/>
    <s v="TRK97621403"/>
    <n v="8"/>
    <s v="FREESHIP"/>
    <x v="2"/>
    <n v="230.88"/>
  </r>
  <r>
    <s v="ORD200763"/>
    <d v="2023-04-06T00:00:00"/>
    <s v="C79142"/>
    <s v="Laptop"/>
    <n v="1"/>
    <n v="569.96"/>
    <s v="533 Main St"/>
    <x v="1"/>
    <s v="Delivered"/>
    <s v="TRK30915955"/>
    <n v="4"/>
    <s v="FREESHIP"/>
    <x v="2"/>
    <n v="569.96"/>
  </r>
  <r>
    <s v="ORD200764"/>
    <d v="2024-03-10T00:00:00"/>
    <s v="C35983"/>
    <s v="Laptop"/>
    <n v="5"/>
    <n v="627.42999999999995"/>
    <s v="806 Main St"/>
    <x v="2"/>
    <s v="Cancelled"/>
    <s v="TRK14016163"/>
    <n v="10"/>
    <s v="FREESHIP"/>
    <x v="2"/>
    <n v="3137.15"/>
  </r>
  <r>
    <s v="ORD200765"/>
    <d v="2023-10-06T00:00:00"/>
    <s v="C36150"/>
    <s v="Laptop"/>
    <n v="2"/>
    <n v="534.91"/>
    <s v="281 Main St"/>
    <x v="0"/>
    <s v="Returned"/>
    <s v="TRK96249043"/>
    <n v="5"/>
    <s v="SAVE10"/>
    <x v="4"/>
    <n v="1069.82"/>
  </r>
  <r>
    <s v="ORD200766"/>
    <d v="2023-01-22T00:00:00"/>
    <s v="C91454"/>
    <s v="Printer"/>
    <n v="2"/>
    <n v="278.88"/>
    <s v="494 Main St"/>
    <x v="0"/>
    <s v="Pending"/>
    <s v="TRK99985340"/>
    <n v="3"/>
    <s v="FREESHIP"/>
    <x v="1"/>
    <n v="557.76"/>
  </r>
  <r>
    <s v="ORD200767"/>
    <d v="2025-04-18T00:00:00"/>
    <s v="C19368"/>
    <s v="Tablet"/>
    <n v="2"/>
    <n v="323.22000000000003"/>
    <s v="517 Main St"/>
    <x v="2"/>
    <s v="Delivered"/>
    <s v="TRK80436037"/>
    <n v="7"/>
    <m/>
    <x v="0"/>
    <n v="646.44000000000005"/>
  </r>
  <r>
    <s v="ORD200768"/>
    <d v="2023-09-04T00:00:00"/>
    <s v="C35987"/>
    <s v="Tablet"/>
    <n v="5"/>
    <n v="653.46"/>
    <s v="165 Main St"/>
    <x v="4"/>
    <s v="Cancelled"/>
    <s v="TRK28918815"/>
    <n v="9"/>
    <s v="WINTER15"/>
    <x v="2"/>
    <n v="3267.3"/>
  </r>
  <r>
    <s v="ORD200769"/>
    <d v="2023-07-06T00:00:00"/>
    <s v="C13366"/>
    <s v="Printer"/>
    <n v="4"/>
    <n v="678.55"/>
    <s v="568 Main St"/>
    <x v="4"/>
    <s v="Delivered"/>
    <s v="TRK98691410"/>
    <n v="5"/>
    <m/>
    <x v="2"/>
    <n v="2714.2"/>
  </r>
  <r>
    <s v="ORD200770"/>
    <d v="2024-02-11T00:00:00"/>
    <s v="C72166"/>
    <s v="Desk"/>
    <n v="1"/>
    <n v="314.38"/>
    <s v="227 Main St"/>
    <x v="1"/>
    <s v="Returned"/>
    <s v="TRK67733444"/>
    <n v="6"/>
    <m/>
    <x v="4"/>
    <n v="314.38"/>
  </r>
  <r>
    <s v="ORD200771"/>
    <d v="2024-06-12T00:00:00"/>
    <s v="C20357"/>
    <s v="Phone"/>
    <n v="3"/>
    <n v="692.44"/>
    <s v="272 Main St"/>
    <x v="0"/>
    <s v="Cancelled"/>
    <s v="TRK82236408"/>
    <n v="8"/>
    <s v="FREESHIP"/>
    <x v="4"/>
    <n v="2077.3200000000002"/>
  </r>
  <r>
    <s v="ORD200772"/>
    <d v="2024-07-28T00:00:00"/>
    <s v="C33802"/>
    <s v="Monitor"/>
    <n v="1"/>
    <n v="604.87"/>
    <s v="461 Main St"/>
    <x v="1"/>
    <s v="Delivered"/>
    <s v="TRK25799478"/>
    <n v="4"/>
    <m/>
    <x v="0"/>
    <n v="604.87"/>
  </r>
  <r>
    <s v="ORD200773"/>
    <d v="2025-06-28T00:00:00"/>
    <s v="C99205"/>
    <s v="Phone"/>
    <n v="2"/>
    <n v="512.33000000000004"/>
    <s v="415 Main St"/>
    <x v="4"/>
    <s v="Cancelled"/>
    <s v="TRK48904015"/>
    <n v="7"/>
    <m/>
    <x v="3"/>
    <n v="1024.6600000000001"/>
  </r>
  <r>
    <s v="ORD200774"/>
    <d v="2025-04-15T00:00:00"/>
    <s v="C29701"/>
    <s v="Chair"/>
    <n v="3"/>
    <n v="20.54"/>
    <s v="257 Main St"/>
    <x v="2"/>
    <s v="Cancelled"/>
    <s v="TRK42266846"/>
    <n v="3"/>
    <s v="FREESHIP"/>
    <x v="0"/>
    <n v="61.62"/>
  </r>
  <r>
    <s v="ORD200775"/>
    <d v="2023-03-04T00:00:00"/>
    <s v="C73941"/>
    <s v="Phone"/>
    <n v="2"/>
    <n v="625.22"/>
    <s v="569 Main St"/>
    <x v="1"/>
    <s v="Cancelled"/>
    <s v="TRK22051900"/>
    <n v="5"/>
    <m/>
    <x v="4"/>
    <n v="1250.44"/>
  </r>
  <r>
    <s v="ORD200776"/>
    <d v="2023-08-21T00:00:00"/>
    <s v="C69168"/>
    <s v="Tablet"/>
    <n v="1"/>
    <n v="21.19"/>
    <s v="482 Main St"/>
    <x v="4"/>
    <s v="Returned"/>
    <s v="TRK10446197"/>
    <n v="5"/>
    <s v="WINTER15"/>
    <x v="4"/>
    <n v="21.19"/>
  </r>
  <r>
    <s v="ORD200777"/>
    <d v="2025-03-21T00:00:00"/>
    <s v="C66116"/>
    <s v="Chair"/>
    <n v="5"/>
    <n v="64.489999999999995"/>
    <s v="633 Main St"/>
    <x v="1"/>
    <s v="Cancelled"/>
    <s v="TRK41967983"/>
    <n v="7"/>
    <m/>
    <x v="3"/>
    <n v="322.45"/>
  </r>
  <r>
    <s v="ORD200778"/>
    <d v="2023-04-28T00:00:00"/>
    <s v="C85059"/>
    <s v="Laptop"/>
    <n v="4"/>
    <n v="246.85"/>
    <s v="316 Main St"/>
    <x v="2"/>
    <s v="Shipped"/>
    <s v="TRK56503740"/>
    <n v="8"/>
    <s v="WINTER15"/>
    <x v="4"/>
    <n v="987.4"/>
  </r>
  <r>
    <s v="ORD200779"/>
    <d v="2023-12-01T00:00:00"/>
    <s v="C18076"/>
    <s v="Phone"/>
    <n v="3"/>
    <n v="588.74"/>
    <s v="751 Main St"/>
    <x v="0"/>
    <s v="Pending"/>
    <s v="TRK26661705"/>
    <n v="8"/>
    <s v="FREESHIP"/>
    <x v="2"/>
    <n v="1766.22"/>
  </r>
  <r>
    <s v="ORD200780"/>
    <d v="2024-03-31T00:00:00"/>
    <s v="C41284"/>
    <s v="Laptop"/>
    <n v="4"/>
    <n v="184.48"/>
    <s v="661 Main St"/>
    <x v="1"/>
    <s v="Cancelled"/>
    <s v="TRK73613128"/>
    <n v="4"/>
    <s v="WINTER15"/>
    <x v="4"/>
    <n v="737.92"/>
  </r>
  <r>
    <s v="ORD200781"/>
    <d v="2024-01-10T00:00:00"/>
    <s v="C43524"/>
    <s v="Phone"/>
    <n v="5"/>
    <n v="524.26"/>
    <s v="934 Main St"/>
    <x v="3"/>
    <s v="Delivered"/>
    <s v="TRK51479426"/>
    <n v="5"/>
    <s v="FREESHIP"/>
    <x v="1"/>
    <n v="2621.3000000000002"/>
  </r>
  <r>
    <s v="ORD200782"/>
    <d v="2024-08-11T00:00:00"/>
    <s v="C58063"/>
    <s v="Monitor"/>
    <n v="2"/>
    <n v="493.63"/>
    <s v="167 Main St"/>
    <x v="1"/>
    <s v="Returned"/>
    <s v="TRK50548869"/>
    <n v="6"/>
    <s v="SAVE10"/>
    <x v="1"/>
    <n v="987.26"/>
  </r>
  <r>
    <s v="ORD200783"/>
    <d v="2025-05-26T00:00:00"/>
    <s v="C19937"/>
    <s v="Printer"/>
    <n v="1"/>
    <n v="438.34"/>
    <s v="281 Main St"/>
    <x v="3"/>
    <s v="Returned"/>
    <s v="TRK46990083"/>
    <n v="5"/>
    <s v="FREESHIP"/>
    <x v="3"/>
    <n v="438.34"/>
  </r>
  <r>
    <s v="ORD200784"/>
    <d v="2025-05-16T00:00:00"/>
    <s v="C21191"/>
    <s v="Laptop"/>
    <n v="1"/>
    <n v="325.81"/>
    <s v="232 Main St"/>
    <x v="2"/>
    <s v="Pending"/>
    <s v="TRK85771230"/>
    <n v="1"/>
    <s v="WINTER15"/>
    <x v="1"/>
    <n v="325.81"/>
  </r>
  <r>
    <s v="ORD200785"/>
    <d v="2023-07-29T00:00:00"/>
    <s v="C45862"/>
    <s v="Chair"/>
    <n v="1"/>
    <n v="176.1"/>
    <s v="342 Main St"/>
    <x v="2"/>
    <s v="Pending"/>
    <s v="TRK53089983"/>
    <n v="1"/>
    <s v="SAVE10"/>
    <x v="0"/>
    <n v="176.1"/>
  </r>
  <r>
    <s v="ORD200786"/>
    <d v="2023-08-23T00:00:00"/>
    <s v="C39130"/>
    <s v="Chair"/>
    <n v="5"/>
    <n v="45.31"/>
    <s v="774 Main St"/>
    <x v="1"/>
    <s v="Cancelled"/>
    <s v="TRK99583414"/>
    <n v="8"/>
    <m/>
    <x v="1"/>
    <n v="226.55"/>
  </r>
  <r>
    <s v="ORD200787"/>
    <d v="2024-03-17T00:00:00"/>
    <s v="C18167"/>
    <s v="Desk"/>
    <n v="4"/>
    <n v="221.96"/>
    <s v="193 Main St"/>
    <x v="4"/>
    <s v="Delivered"/>
    <s v="TRK36841089"/>
    <n v="7"/>
    <m/>
    <x v="4"/>
    <n v="887.84"/>
  </r>
  <r>
    <s v="ORD200788"/>
    <d v="2023-11-02T00:00:00"/>
    <s v="C47307"/>
    <s v="Chair"/>
    <n v="2"/>
    <n v="601.42999999999995"/>
    <s v="761 Main St"/>
    <x v="1"/>
    <s v="Pending"/>
    <s v="TRK43516112"/>
    <n v="5"/>
    <s v="FREESHIP"/>
    <x v="0"/>
    <n v="1202.8599999999999"/>
  </r>
  <r>
    <s v="ORD200789"/>
    <d v="2023-08-17T00:00:00"/>
    <s v="C57276"/>
    <s v="Tablet"/>
    <n v="5"/>
    <n v="691.28"/>
    <s v="183 Main St"/>
    <x v="1"/>
    <s v="Delivered"/>
    <s v="TRK75899752"/>
    <n v="10"/>
    <s v="SAVE10"/>
    <x v="2"/>
    <n v="3456.4"/>
  </r>
  <r>
    <s v="ORD200790"/>
    <d v="2024-09-14T00:00:00"/>
    <s v="C38928"/>
    <s v="Laptop"/>
    <n v="4"/>
    <n v="417.89"/>
    <s v="302 Main St"/>
    <x v="3"/>
    <s v="Pending"/>
    <s v="TRK96636009"/>
    <n v="4"/>
    <m/>
    <x v="4"/>
    <n v="1671.56"/>
  </r>
  <r>
    <s v="ORD200791"/>
    <d v="2024-01-13T00:00:00"/>
    <s v="C49710"/>
    <s v="Chair"/>
    <n v="4"/>
    <n v="409.28"/>
    <s v="956 Main St"/>
    <x v="4"/>
    <s v="Pending"/>
    <s v="TRK92591237"/>
    <n v="8"/>
    <m/>
    <x v="2"/>
    <n v="1637.12"/>
  </r>
  <r>
    <s v="ORD200792"/>
    <d v="2023-06-16T00:00:00"/>
    <s v="C41709"/>
    <s v="Desk"/>
    <n v="2"/>
    <n v="356.35"/>
    <s v="746 Main St"/>
    <x v="0"/>
    <s v="Returned"/>
    <s v="TRK90995294"/>
    <n v="6"/>
    <s v="WINTER15"/>
    <x v="3"/>
    <n v="712.7"/>
  </r>
  <r>
    <s v="ORD200793"/>
    <d v="2024-04-15T00:00:00"/>
    <s v="C91255"/>
    <s v="Chair"/>
    <n v="5"/>
    <n v="170.22"/>
    <s v="769 Main St"/>
    <x v="0"/>
    <s v="Delivered"/>
    <s v="TRK69599961"/>
    <n v="8"/>
    <m/>
    <x v="1"/>
    <n v="851.1"/>
  </r>
  <r>
    <s v="ORD200794"/>
    <d v="2023-03-09T00:00:00"/>
    <s v="C76653"/>
    <s v="Printer"/>
    <n v="4"/>
    <n v="384.85"/>
    <s v="988 Main St"/>
    <x v="1"/>
    <s v="Delivered"/>
    <s v="TRK77052196"/>
    <n v="9"/>
    <s v="FREESHIP"/>
    <x v="0"/>
    <n v="1539.4"/>
  </r>
  <r>
    <s v="ORD200795"/>
    <d v="2024-11-20T00:00:00"/>
    <s v="C95667"/>
    <s v="Laptop"/>
    <n v="4"/>
    <n v="115.77"/>
    <s v="586 Main St"/>
    <x v="1"/>
    <s v="Pending"/>
    <s v="TRK41266666"/>
    <n v="7"/>
    <s v="SAVE10"/>
    <x v="0"/>
    <n v="463.08"/>
  </r>
  <r>
    <s v="ORD200796"/>
    <d v="2025-04-29T00:00:00"/>
    <s v="C33313"/>
    <s v="Phone"/>
    <n v="3"/>
    <n v="579.54999999999995"/>
    <s v="882 Main St"/>
    <x v="3"/>
    <s v="Returned"/>
    <s v="TRK13349970"/>
    <n v="8"/>
    <s v="WINTER15"/>
    <x v="3"/>
    <n v="1738.65"/>
  </r>
  <r>
    <s v="ORD200797"/>
    <d v="2023-02-27T00:00:00"/>
    <s v="C36825"/>
    <s v="Laptop"/>
    <n v="2"/>
    <n v="438.76"/>
    <s v="426 Main St"/>
    <x v="0"/>
    <s v="Returned"/>
    <s v="TRK72557318"/>
    <n v="2"/>
    <m/>
    <x v="3"/>
    <n v="877.52"/>
  </r>
  <r>
    <s v="ORD200798"/>
    <d v="2025-05-19T00:00:00"/>
    <s v="C20861"/>
    <s v="Phone"/>
    <n v="5"/>
    <n v="488.35"/>
    <s v="968 Main St"/>
    <x v="0"/>
    <s v="Returned"/>
    <s v="TRK89372013"/>
    <n v="9"/>
    <s v="FREESHIP"/>
    <x v="2"/>
    <n v="2441.75"/>
  </r>
  <r>
    <s v="ORD200799"/>
    <d v="2023-04-16T00:00:00"/>
    <s v="C26364"/>
    <s v="Laptop"/>
    <n v="4"/>
    <n v="328.56"/>
    <s v="803 Main St"/>
    <x v="0"/>
    <s v="Returned"/>
    <s v="TRK78924436"/>
    <n v="4"/>
    <s v="FREESHIP"/>
    <x v="2"/>
    <n v="1314.24"/>
  </r>
  <r>
    <s v="ORD200800"/>
    <d v="2025-03-28T00:00:00"/>
    <s v="C34686"/>
    <s v="Tablet"/>
    <n v="1"/>
    <n v="68.39"/>
    <s v="412 Main St"/>
    <x v="1"/>
    <s v="Returned"/>
    <s v="TRK99468332"/>
    <n v="3"/>
    <s v="WINTER15"/>
    <x v="3"/>
    <n v="68.39"/>
  </r>
  <r>
    <s v="ORD200801"/>
    <d v="2023-05-03T00:00:00"/>
    <s v="C97593"/>
    <s v="Printer"/>
    <n v="4"/>
    <n v="595.62"/>
    <s v="738 Main St"/>
    <x v="0"/>
    <s v="Pending"/>
    <s v="TRK58443593"/>
    <n v="8"/>
    <s v="FREESHIP"/>
    <x v="3"/>
    <n v="2382.48"/>
  </r>
  <r>
    <s v="ORD200802"/>
    <d v="2024-02-17T00:00:00"/>
    <s v="C84331"/>
    <s v="Chair"/>
    <n v="5"/>
    <n v="644.64"/>
    <s v="205 Main St"/>
    <x v="3"/>
    <s v="Cancelled"/>
    <s v="TRK34440714"/>
    <n v="6"/>
    <s v="FREESHIP"/>
    <x v="2"/>
    <n v="3223.2"/>
  </r>
  <r>
    <s v="ORD200803"/>
    <d v="2023-08-20T00:00:00"/>
    <s v="C88775"/>
    <s v="Monitor"/>
    <n v="5"/>
    <n v="397.81"/>
    <s v="223 Main St"/>
    <x v="0"/>
    <s v="Returned"/>
    <s v="TRK45098068"/>
    <n v="5"/>
    <s v="SAVE10"/>
    <x v="1"/>
    <n v="1989.05"/>
  </r>
  <r>
    <s v="ORD200804"/>
    <d v="2024-01-01T00:00:00"/>
    <s v="C76362"/>
    <s v="Chair"/>
    <n v="3"/>
    <n v="236.5"/>
    <s v="916 Main St"/>
    <x v="1"/>
    <s v="Delivered"/>
    <s v="TRK11868618"/>
    <n v="8"/>
    <s v="FREESHIP"/>
    <x v="2"/>
    <n v="709.5"/>
  </r>
  <r>
    <s v="ORD200805"/>
    <d v="2024-10-15T00:00:00"/>
    <s v="C59278"/>
    <s v="Laptop"/>
    <n v="5"/>
    <n v="472.01"/>
    <s v="178 Main St"/>
    <x v="3"/>
    <s v="Cancelled"/>
    <s v="TRK14590037"/>
    <n v="10"/>
    <s v="SAVE10"/>
    <x v="2"/>
    <n v="2360.0500000000002"/>
  </r>
  <r>
    <s v="ORD200806"/>
    <d v="2023-09-01T00:00:00"/>
    <s v="C55819"/>
    <s v="Chair"/>
    <n v="5"/>
    <n v="253.75"/>
    <s v="740 Main St"/>
    <x v="1"/>
    <s v="Pending"/>
    <s v="TRK13775054"/>
    <n v="9"/>
    <s v="WINTER15"/>
    <x v="0"/>
    <n v="1268.75"/>
  </r>
  <r>
    <s v="ORD200807"/>
    <d v="2024-11-10T00:00:00"/>
    <s v="C82344"/>
    <s v="Monitor"/>
    <n v="3"/>
    <n v="676.21"/>
    <s v="260 Main St"/>
    <x v="1"/>
    <s v="Delivered"/>
    <s v="TRK70957219"/>
    <n v="5"/>
    <s v="SAVE10"/>
    <x v="4"/>
    <n v="2028.63"/>
  </r>
  <r>
    <s v="ORD200808"/>
    <d v="2024-02-13T00:00:00"/>
    <s v="C65565"/>
    <s v="Desk"/>
    <n v="3"/>
    <n v="134.05000000000001"/>
    <s v="192 Main St"/>
    <x v="2"/>
    <s v="Shipped"/>
    <s v="TRK80383756"/>
    <n v="3"/>
    <m/>
    <x v="4"/>
    <n v="402.15"/>
  </r>
  <r>
    <s v="ORD200809"/>
    <d v="2024-04-09T00:00:00"/>
    <s v="C80416"/>
    <s v="Desk"/>
    <n v="5"/>
    <n v="217.43"/>
    <s v="752 Main St"/>
    <x v="0"/>
    <s v="Shipped"/>
    <s v="TRK54385892"/>
    <n v="10"/>
    <s v="SAVE10"/>
    <x v="0"/>
    <n v="1087.1500000000001"/>
  </r>
  <r>
    <s v="ORD200810"/>
    <d v="2023-05-31T00:00:00"/>
    <s v="C23637"/>
    <s v="Tablet"/>
    <n v="1"/>
    <n v="553.55999999999995"/>
    <s v="644 Main St"/>
    <x v="2"/>
    <s v="Cancelled"/>
    <s v="TRK16749863"/>
    <n v="5"/>
    <m/>
    <x v="1"/>
    <n v="553.55999999999995"/>
  </r>
  <r>
    <s v="ORD200811"/>
    <d v="2023-11-05T00:00:00"/>
    <s v="C24769"/>
    <s v="Laptop"/>
    <n v="2"/>
    <n v="28.55"/>
    <s v="864 Main St"/>
    <x v="3"/>
    <s v="Shipped"/>
    <s v="TRK44538305"/>
    <n v="7"/>
    <s v="SAVE10"/>
    <x v="2"/>
    <n v="57.1"/>
  </r>
  <r>
    <s v="ORD200812"/>
    <d v="2024-01-26T00:00:00"/>
    <s v="C81547"/>
    <s v="Phone"/>
    <n v="2"/>
    <n v="255.26"/>
    <s v="803 Main St"/>
    <x v="2"/>
    <s v="Cancelled"/>
    <s v="TRK88437123"/>
    <n v="6"/>
    <s v="FREESHIP"/>
    <x v="4"/>
    <n v="510.52"/>
  </r>
  <r>
    <s v="ORD200813"/>
    <d v="2025-03-15T00:00:00"/>
    <s v="C12813"/>
    <s v="Laptop"/>
    <n v="5"/>
    <n v="292.54000000000002"/>
    <s v="263 Main St"/>
    <x v="0"/>
    <s v="Cancelled"/>
    <s v="TRK36131660"/>
    <n v="8"/>
    <s v="FREESHIP"/>
    <x v="2"/>
    <n v="1462.7"/>
  </r>
  <r>
    <s v="ORD200814"/>
    <d v="2024-12-11T00:00:00"/>
    <s v="C50732"/>
    <s v="Chair"/>
    <n v="4"/>
    <n v="147.51"/>
    <s v="979 Main St"/>
    <x v="0"/>
    <s v="Pending"/>
    <s v="TRK21082461"/>
    <n v="4"/>
    <s v="WINTER15"/>
    <x v="0"/>
    <n v="590.04"/>
  </r>
  <r>
    <s v="ORD200815"/>
    <d v="2024-08-04T00:00:00"/>
    <s v="C41320"/>
    <s v="Printer"/>
    <n v="3"/>
    <n v="569.84"/>
    <s v="920 Main St"/>
    <x v="3"/>
    <s v="Cancelled"/>
    <s v="TRK77539180"/>
    <n v="8"/>
    <s v="WINTER15"/>
    <x v="0"/>
    <n v="1709.52"/>
  </r>
  <r>
    <s v="ORD200816"/>
    <d v="2024-02-21T00:00:00"/>
    <s v="C55286"/>
    <s v="Tablet"/>
    <n v="5"/>
    <n v="574.79"/>
    <s v="497 Main St"/>
    <x v="2"/>
    <s v="Pending"/>
    <s v="TRK39058734"/>
    <n v="8"/>
    <s v="WINTER15"/>
    <x v="1"/>
    <n v="2873.95"/>
  </r>
  <r>
    <s v="ORD200817"/>
    <d v="2023-10-05T00:00:00"/>
    <s v="C87994"/>
    <s v="Chair"/>
    <n v="4"/>
    <n v="598.19000000000005"/>
    <s v="430 Main St"/>
    <x v="2"/>
    <s v="Delivered"/>
    <s v="TRK98883971"/>
    <n v="7"/>
    <s v="WINTER15"/>
    <x v="2"/>
    <n v="2392.7600000000002"/>
  </r>
  <r>
    <s v="ORD200818"/>
    <d v="2023-03-02T00:00:00"/>
    <s v="C25580"/>
    <s v="Phone"/>
    <n v="4"/>
    <n v="390.84"/>
    <s v="860 Main St"/>
    <x v="2"/>
    <s v="Cancelled"/>
    <s v="TRK58781638"/>
    <n v="9"/>
    <s v="WINTER15"/>
    <x v="1"/>
    <n v="1563.36"/>
  </r>
  <r>
    <s v="ORD200819"/>
    <d v="2024-09-28T00:00:00"/>
    <s v="C66196"/>
    <s v="Phone"/>
    <n v="2"/>
    <n v="398.45"/>
    <s v="650 Main St"/>
    <x v="0"/>
    <s v="Cancelled"/>
    <s v="TRK38104650"/>
    <n v="7"/>
    <s v="SAVE10"/>
    <x v="4"/>
    <n v="796.9"/>
  </r>
  <r>
    <s v="ORD200820"/>
    <d v="2023-05-27T00:00:00"/>
    <s v="C35377"/>
    <s v="Phone"/>
    <n v="5"/>
    <n v="623.80999999999995"/>
    <s v="171 Main St"/>
    <x v="4"/>
    <s v="Returned"/>
    <s v="TRK17342157"/>
    <n v="6"/>
    <s v="FREESHIP"/>
    <x v="2"/>
    <n v="3119.05"/>
  </r>
  <r>
    <s v="ORD200821"/>
    <d v="2024-12-14T00:00:00"/>
    <s v="C40771"/>
    <s v="Laptop"/>
    <n v="4"/>
    <n v="174.49"/>
    <s v="259 Main St"/>
    <x v="2"/>
    <s v="Delivered"/>
    <s v="TRK56310345"/>
    <n v="5"/>
    <s v="SAVE10"/>
    <x v="3"/>
    <n v="697.96"/>
  </r>
  <r>
    <s v="ORD200822"/>
    <d v="2025-03-15T00:00:00"/>
    <s v="C20624"/>
    <s v="Phone"/>
    <n v="1"/>
    <n v="479.56"/>
    <s v="923 Main St"/>
    <x v="3"/>
    <s v="Returned"/>
    <s v="TRK45123395"/>
    <n v="1"/>
    <s v="SAVE10"/>
    <x v="4"/>
    <n v="479.56"/>
  </r>
  <r>
    <s v="ORD200823"/>
    <d v="2024-10-07T00:00:00"/>
    <s v="C27070"/>
    <s v="Laptop"/>
    <n v="4"/>
    <n v="653.13"/>
    <s v="973 Main St"/>
    <x v="2"/>
    <s v="Shipped"/>
    <s v="TRK83842481"/>
    <n v="8"/>
    <s v="WINTER15"/>
    <x v="0"/>
    <n v="2612.52"/>
  </r>
  <r>
    <s v="ORD200824"/>
    <d v="2023-08-29T00:00:00"/>
    <s v="C18826"/>
    <s v="Monitor"/>
    <n v="3"/>
    <n v="481.1"/>
    <s v="664 Main St"/>
    <x v="2"/>
    <s v="Returned"/>
    <s v="TRK12530495"/>
    <n v="3"/>
    <s v="FREESHIP"/>
    <x v="3"/>
    <n v="1443.3"/>
  </r>
  <r>
    <s v="ORD200825"/>
    <d v="2025-03-26T00:00:00"/>
    <s v="C23899"/>
    <s v="Desk"/>
    <n v="5"/>
    <n v="271.69"/>
    <s v="543 Main St"/>
    <x v="1"/>
    <s v="Returned"/>
    <s v="TRK88914760"/>
    <n v="7"/>
    <s v="FREESHIP"/>
    <x v="0"/>
    <n v="1358.45"/>
  </r>
  <r>
    <s v="ORD200826"/>
    <d v="2025-03-08T00:00:00"/>
    <s v="C43249"/>
    <s v="Printer"/>
    <n v="3"/>
    <n v="463.81"/>
    <s v="283 Main St"/>
    <x v="1"/>
    <s v="Returned"/>
    <s v="TRK32469820"/>
    <n v="8"/>
    <s v="WINTER15"/>
    <x v="2"/>
    <n v="1391.43"/>
  </r>
  <r>
    <s v="ORD200827"/>
    <d v="2023-05-25T00:00:00"/>
    <s v="C95856"/>
    <s v="Tablet"/>
    <n v="2"/>
    <n v="639.88"/>
    <s v="432 Main St"/>
    <x v="4"/>
    <s v="Delivered"/>
    <s v="TRK58829625"/>
    <n v="5"/>
    <s v="WINTER15"/>
    <x v="0"/>
    <n v="1279.76"/>
  </r>
  <r>
    <s v="ORD200828"/>
    <d v="2024-07-24T00:00:00"/>
    <s v="C86266"/>
    <s v="Chair"/>
    <n v="4"/>
    <n v="404.58"/>
    <s v="510 Main St"/>
    <x v="4"/>
    <s v="Shipped"/>
    <s v="TRK64576020"/>
    <n v="5"/>
    <s v="FREESHIP"/>
    <x v="0"/>
    <n v="1618.32"/>
  </r>
  <r>
    <s v="ORD200829"/>
    <d v="2023-02-05T00:00:00"/>
    <s v="C39551"/>
    <s v="Monitor"/>
    <n v="1"/>
    <n v="76.930000000000007"/>
    <s v="685 Main St"/>
    <x v="0"/>
    <s v="Delivered"/>
    <s v="TRK68358007"/>
    <n v="6"/>
    <s v="WINTER15"/>
    <x v="0"/>
    <n v="76.930000000000007"/>
  </r>
  <r>
    <s v="ORD200830"/>
    <d v="2024-12-11T00:00:00"/>
    <s v="C90310"/>
    <s v="Tablet"/>
    <n v="4"/>
    <n v="190.64"/>
    <s v="853 Main St"/>
    <x v="4"/>
    <s v="Delivered"/>
    <s v="TRK70028457"/>
    <n v="5"/>
    <s v="SAVE10"/>
    <x v="2"/>
    <n v="762.56"/>
  </r>
  <r>
    <s v="ORD200831"/>
    <d v="2023-12-18T00:00:00"/>
    <s v="C20124"/>
    <s v="Printer"/>
    <n v="2"/>
    <n v="88.73"/>
    <s v="140 Main St"/>
    <x v="1"/>
    <s v="Pending"/>
    <s v="TRK61346824"/>
    <n v="5"/>
    <m/>
    <x v="4"/>
    <n v="177.46"/>
  </r>
  <r>
    <s v="ORD200832"/>
    <d v="2024-03-12T00:00:00"/>
    <s v="C63372"/>
    <s v="Chair"/>
    <n v="5"/>
    <n v="485.71"/>
    <s v="903 Main St"/>
    <x v="1"/>
    <s v="Pending"/>
    <s v="TRK14661811"/>
    <n v="10"/>
    <s v="SAVE10"/>
    <x v="1"/>
    <n v="2428.5500000000002"/>
  </r>
  <r>
    <s v="ORD200833"/>
    <d v="2025-03-14T00:00:00"/>
    <s v="C90595"/>
    <s v="Phone"/>
    <n v="5"/>
    <n v="78.290000000000006"/>
    <s v="508 Main St"/>
    <x v="2"/>
    <s v="Shipped"/>
    <s v="TRK96573803"/>
    <n v="5"/>
    <s v="WINTER15"/>
    <x v="1"/>
    <n v="391.45"/>
  </r>
  <r>
    <s v="ORD200834"/>
    <d v="2024-04-11T00:00:00"/>
    <s v="C98483"/>
    <s v="Printer"/>
    <n v="5"/>
    <n v="22.14"/>
    <s v="456 Main St"/>
    <x v="4"/>
    <s v="Returned"/>
    <s v="TRK22084320"/>
    <n v="10"/>
    <m/>
    <x v="0"/>
    <n v="110.7"/>
  </r>
  <r>
    <s v="ORD200835"/>
    <d v="2024-03-26T00:00:00"/>
    <s v="C16429"/>
    <s v="Desk"/>
    <n v="1"/>
    <n v="679.65"/>
    <s v="390 Main St"/>
    <x v="0"/>
    <s v="Shipped"/>
    <s v="TRK73888013"/>
    <n v="6"/>
    <s v="FREESHIP"/>
    <x v="4"/>
    <n v="679.65"/>
  </r>
  <r>
    <s v="ORD200836"/>
    <d v="2023-02-02T00:00:00"/>
    <s v="C31810"/>
    <s v="Phone"/>
    <n v="1"/>
    <n v="178.44"/>
    <s v="328 Main St"/>
    <x v="2"/>
    <s v="Cancelled"/>
    <s v="TRK58725886"/>
    <n v="2"/>
    <s v="FREESHIP"/>
    <x v="4"/>
    <n v="178.44"/>
  </r>
  <r>
    <s v="ORD200837"/>
    <d v="2025-06-14T00:00:00"/>
    <s v="C88029"/>
    <s v="Chair"/>
    <n v="5"/>
    <n v="655.55"/>
    <s v="282 Main St"/>
    <x v="1"/>
    <s v="Delivered"/>
    <s v="TRK59701278"/>
    <n v="5"/>
    <m/>
    <x v="2"/>
    <n v="3277.75"/>
  </r>
  <r>
    <s v="ORD200838"/>
    <d v="2024-04-11T00:00:00"/>
    <s v="C57798"/>
    <s v="Desk"/>
    <n v="4"/>
    <n v="577.08000000000004"/>
    <s v="384 Main St"/>
    <x v="1"/>
    <s v="Pending"/>
    <s v="TRK68797566"/>
    <n v="8"/>
    <m/>
    <x v="3"/>
    <n v="2308.3200000000002"/>
  </r>
  <r>
    <s v="ORD200839"/>
    <d v="2023-08-24T00:00:00"/>
    <s v="C82858"/>
    <s v="Chair"/>
    <n v="3"/>
    <n v="197.97"/>
    <s v="551 Main St"/>
    <x v="1"/>
    <s v="Cancelled"/>
    <s v="TRK90618490"/>
    <n v="5"/>
    <m/>
    <x v="4"/>
    <n v="593.91"/>
  </r>
  <r>
    <s v="ORD200840"/>
    <d v="2024-01-14T00:00:00"/>
    <s v="C60699"/>
    <s v="Chair"/>
    <n v="3"/>
    <n v="411.95"/>
    <s v="672 Main St"/>
    <x v="2"/>
    <s v="Delivered"/>
    <s v="TRK88660574"/>
    <n v="7"/>
    <s v="FREESHIP"/>
    <x v="1"/>
    <n v="1235.8499999999999"/>
  </r>
  <r>
    <s v="ORD200841"/>
    <d v="2024-09-19T00:00:00"/>
    <s v="C94658"/>
    <s v="Printer"/>
    <n v="2"/>
    <n v="443.22"/>
    <s v="742 Main St"/>
    <x v="2"/>
    <s v="Delivered"/>
    <s v="TRK51732528"/>
    <n v="5"/>
    <m/>
    <x v="3"/>
    <n v="886.44"/>
  </r>
  <r>
    <s v="ORD200842"/>
    <d v="2025-05-07T00:00:00"/>
    <s v="C78305"/>
    <s v="Laptop"/>
    <n v="3"/>
    <n v="364.14"/>
    <s v="396 Main St"/>
    <x v="1"/>
    <s v="Pending"/>
    <s v="TRK88312618"/>
    <n v="7"/>
    <s v="WINTER15"/>
    <x v="1"/>
    <n v="1092.42"/>
  </r>
  <r>
    <s v="ORD200843"/>
    <d v="2025-05-13T00:00:00"/>
    <s v="C43538"/>
    <s v="Desk"/>
    <n v="3"/>
    <n v="430.06"/>
    <s v="534 Main St"/>
    <x v="3"/>
    <s v="Cancelled"/>
    <s v="TRK20961563"/>
    <n v="8"/>
    <s v="FREESHIP"/>
    <x v="0"/>
    <n v="1290.18"/>
  </r>
  <r>
    <s v="ORD200844"/>
    <d v="2024-12-04T00:00:00"/>
    <s v="C47486"/>
    <s v="Chair"/>
    <n v="1"/>
    <n v="320.92"/>
    <s v="883 Main St"/>
    <x v="1"/>
    <s v="Returned"/>
    <s v="TRK75984759"/>
    <n v="5"/>
    <s v="FREESHIP"/>
    <x v="3"/>
    <n v="320.92"/>
  </r>
  <r>
    <s v="ORD200845"/>
    <d v="2023-10-08T00:00:00"/>
    <s v="C24212"/>
    <s v="Phone"/>
    <n v="3"/>
    <n v="107.36"/>
    <s v="808 Main St"/>
    <x v="3"/>
    <s v="Delivered"/>
    <s v="TRK68894675"/>
    <n v="5"/>
    <s v="FREESHIP"/>
    <x v="4"/>
    <n v="322.08"/>
  </r>
  <r>
    <s v="ORD200846"/>
    <d v="2024-07-04T00:00:00"/>
    <s v="C24765"/>
    <s v="Desk"/>
    <n v="2"/>
    <n v="359.86"/>
    <s v="646 Main St"/>
    <x v="0"/>
    <s v="Cancelled"/>
    <s v="TRK43977698"/>
    <n v="4"/>
    <m/>
    <x v="1"/>
    <n v="719.72"/>
  </r>
  <r>
    <s v="ORD200847"/>
    <d v="2024-11-18T00:00:00"/>
    <s v="C48176"/>
    <s v="Printer"/>
    <n v="4"/>
    <n v="434.23"/>
    <s v="670 Main St"/>
    <x v="1"/>
    <s v="Shipped"/>
    <s v="TRK90560300"/>
    <n v="8"/>
    <s v="FREESHIP"/>
    <x v="2"/>
    <n v="1736.92"/>
  </r>
  <r>
    <s v="ORD200848"/>
    <d v="2023-01-01T00:00:00"/>
    <s v="C54675"/>
    <s v="Chair"/>
    <n v="2"/>
    <n v="645.85"/>
    <s v="634 Main St"/>
    <x v="1"/>
    <s v="Shipped"/>
    <s v="TRK18049633"/>
    <n v="5"/>
    <m/>
    <x v="1"/>
    <n v="1291.7"/>
  </r>
  <r>
    <s v="ORD200849"/>
    <d v="2025-06-09T00:00:00"/>
    <s v="C16675"/>
    <s v="Printer"/>
    <n v="4"/>
    <n v="214.35"/>
    <s v="664 Main St"/>
    <x v="0"/>
    <s v="Cancelled"/>
    <s v="TRK12756945"/>
    <n v="7"/>
    <s v="WINTER15"/>
    <x v="1"/>
    <n v="857.4"/>
  </r>
  <r>
    <s v="ORD200850"/>
    <d v="2025-04-27T00:00:00"/>
    <s v="C38557"/>
    <s v="Monitor"/>
    <n v="3"/>
    <n v="638.5"/>
    <s v="890 Main St"/>
    <x v="0"/>
    <s v="Cancelled"/>
    <s v="TRK14832238"/>
    <n v="4"/>
    <s v="FREESHIP"/>
    <x v="0"/>
    <n v="1915.5"/>
  </r>
  <r>
    <s v="ORD200851"/>
    <d v="2023-12-12T00:00:00"/>
    <s v="C80183"/>
    <s v="Laptop"/>
    <n v="1"/>
    <n v="365.57"/>
    <s v="146 Main St"/>
    <x v="1"/>
    <s v="Cancelled"/>
    <s v="TRK20814598"/>
    <n v="5"/>
    <s v="SAVE10"/>
    <x v="2"/>
    <n v="365.57"/>
  </r>
  <r>
    <s v="ORD200852"/>
    <d v="2024-10-24T00:00:00"/>
    <s v="C39530"/>
    <s v="Desk"/>
    <n v="3"/>
    <n v="568.04999999999995"/>
    <s v="618 Main St"/>
    <x v="3"/>
    <s v="Pending"/>
    <s v="TRK69000497"/>
    <n v="6"/>
    <s v="SAVE10"/>
    <x v="4"/>
    <n v="1704.15"/>
  </r>
  <r>
    <s v="ORD200853"/>
    <d v="2023-10-16T00:00:00"/>
    <s v="C10002"/>
    <s v="Printer"/>
    <n v="3"/>
    <n v="490.01"/>
    <s v="894 Main St"/>
    <x v="4"/>
    <s v="Returned"/>
    <s v="TRK94641152"/>
    <n v="4"/>
    <s v="SAVE10"/>
    <x v="3"/>
    <n v="1470.03"/>
  </r>
  <r>
    <s v="ORD200854"/>
    <d v="2025-06-13T00:00:00"/>
    <s v="C56938"/>
    <s v="Laptop"/>
    <n v="3"/>
    <n v="372.6"/>
    <s v="356 Main St"/>
    <x v="2"/>
    <s v="Delivered"/>
    <s v="TRK67735987"/>
    <n v="7"/>
    <s v="WINTER15"/>
    <x v="1"/>
    <n v="1117.8"/>
  </r>
  <r>
    <s v="ORD200855"/>
    <d v="2023-05-25T00:00:00"/>
    <s v="C41331"/>
    <s v="Monitor"/>
    <n v="5"/>
    <n v="240.61"/>
    <s v="785 Main St"/>
    <x v="2"/>
    <s v="Shipped"/>
    <s v="TRK94198179"/>
    <n v="10"/>
    <s v="FREESHIP"/>
    <x v="2"/>
    <n v="1203.05"/>
  </r>
  <r>
    <s v="ORD200856"/>
    <d v="2024-06-03T00:00:00"/>
    <s v="C94698"/>
    <s v="Phone"/>
    <n v="1"/>
    <n v="586.62"/>
    <s v="871 Main St"/>
    <x v="0"/>
    <s v="Shipped"/>
    <s v="TRK95768773"/>
    <n v="5"/>
    <m/>
    <x v="3"/>
    <n v="586.62"/>
  </r>
  <r>
    <s v="ORD200857"/>
    <d v="2024-03-10T00:00:00"/>
    <s v="C56506"/>
    <s v="Phone"/>
    <n v="3"/>
    <n v="257.83999999999997"/>
    <s v="185 Main St"/>
    <x v="1"/>
    <s v="Delivered"/>
    <s v="TRK86808324"/>
    <n v="4"/>
    <m/>
    <x v="0"/>
    <n v="773.52"/>
  </r>
  <r>
    <s v="ORD200858"/>
    <d v="2023-08-20T00:00:00"/>
    <s v="C22167"/>
    <s v="Tablet"/>
    <n v="5"/>
    <n v="435.66"/>
    <s v="891 Main St"/>
    <x v="1"/>
    <s v="Pending"/>
    <s v="TRK70269748"/>
    <n v="9"/>
    <m/>
    <x v="3"/>
    <n v="2178.3000000000002"/>
  </r>
  <r>
    <s v="ORD200859"/>
    <d v="2024-08-28T00:00:00"/>
    <s v="C11127"/>
    <s v="Chair"/>
    <n v="5"/>
    <n v="261.33"/>
    <s v="154 Main St"/>
    <x v="2"/>
    <s v="Returned"/>
    <s v="TRK73285507"/>
    <n v="5"/>
    <s v="SAVE10"/>
    <x v="1"/>
    <n v="1306.6500000000001"/>
  </r>
  <r>
    <s v="ORD200860"/>
    <d v="2024-01-23T00:00:00"/>
    <s v="C69542"/>
    <s v="Printer"/>
    <n v="1"/>
    <n v="422.54"/>
    <s v="876 Main St"/>
    <x v="4"/>
    <s v="Delivered"/>
    <s v="TRK20746505"/>
    <n v="1"/>
    <s v="SAVE10"/>
    <x v="4"/>
    <n v="422.54"/>
  </r>
  <r>
    <s v="ORD200861"/>
    <d v="2023-03-19T00:00:00"/>
    <s v="C93276"/>
    <s v="Desk"/>
    <n v="5"/>
    <n v="330.45"/>
    <s v="230 Main St"/>
    <x v="3"/>
    <s v="Shipped"/>
    <s v="TRK44165913"/>
    <n v="10"/>
    <s v="FREESHIP"/>
    <x v="4"/>
    <n v="1652.25"/>
  </r>
  <r>
    <s v="ORD200862"/>
    <d v="2023-12-02T00:00:00"/>
    <s v="C37969"/>
    <s v="Desk"/>
    <n v="3"/>
    <n v="120.82"/>
    <s v="799 Main St"/>
    <x v="2"/>
    <s v="Shipped"/>
    <s v="TRK69852386"/>
    <n v="5"/>
    <s v="SAVE10"/>
    <x v="1"/>
    <n v="362.46"/>
  </r>
  <r>
    <s v="ORD200863"/>
    <d v="2024-05-20T00:00:00"/>
    <s v="C98276"/>
    <s v="Phone"/>
    <n v="1"/>
    <n v="14.06"/>
    <s v="471 Main St"/>
    <x v="2"/>
    <s v="Pending"/>
    <s v="TRK74207282"/>
    <n v="5"/>
    <s v="SAVE10"/>
    <x v="1"/>
    <n v="14.06"/>
  </r>
  <r>
    <s v="ORD200864"/>
    <d v="2023-05-03T00:00:00"/>
    <s v="C14240"/>
    <s v="Desk"/>
    <n v="1"/>
    <n v="491.11"/>
    <s v="592 Main St"/>
    <x v="2"/>
    <s v="Delivered"/>
    <s v="TRK58095246"/>
    <n v="4"/>
    <s v="SAVE10"/>
    <x v="3"/>
    <n v="491.11"/>
  </r>
  <r>
    <s v="ORD200865"/>
    <d v="2023-04-30T00:00:00"/>
    <s v="C72241"/>
    <s v="Monitor"/>
    <n v="4"/>
    <n v="677.37"/>
    <s v="156 Main St"/>
    <x v="4"/>
    <s v="Pending"/>
    <s v="TRK76270481"/>
    <n v="8"/>
    <s v="SAVE10"/>
    <x v="4"/>
    <n v="2709.48"/>
  </r>
  <r>
    <s v="ORD200866"/>
    <d v="2024-07-26T00:00:00"/>
    <s v="C39664"/>
    <s v="Desk"/>
    <n v="5"/>
    <n v="189.25"/>
    <s v="693 Main St"/>
    <x v="0"/>
    <s v="Cancelled"/>
    <s v="TRK39917741"/>
    <n v="10"/>
    <s v="WINTER15"/>
    <x v="2"/>
    <n v="946.25"/>
  </r>
  <r>
    <s v="ORD200867"/>
    <d v="2024-05-26T00:00:00"/>
    <s v="C53252"/>
    <s v="Printer"/>
    <n v="4"/>
    <n v="142.58000000000001"/>
    <s v="351 Main St"/>
    <x v="4"/>
    <s v="Delivered"/>
    <s v="TRK65831261"/>
    <n v="4"/>
    <s v="FREESHIP"/>
    <x v="3"/>
    <n v="570.32000000000005"/>
  </r>
  <r>
    <s v="ORD200868"/>
    <d v="2024-06-29T00:00:00"/>
    <s v="C70452"/>
    <s v="Monitor"/>
    <n v="4"/>
    <n v="316.32"/>
    <s v="309 Main St"/>
    <x v="0"/>
    <s v="Delivered"/>
    <s v="TRK42985882"/>
    <n v="7"/>
    <m/>
    <x v="3"/>
    <n v="1265.28"/>
  </r>
  <r>
    <s v="ORD200869"/>
    <d v="2024-03-17T00:00:00"/>
    <s v="C29905"/>
    <s v="Desk"/>
    <n v="2"/>
    <n v="533.95000000000005"/>
    <s v="790 Main St"/>
    <x v="1"/>
    <s v="Delivered"/>
    <s v="TRK16788127"/>
    <n v="5"/>
    <s v="WINTER15"/>
    <x v="4"/>
    <n v="1067.9000000000001"/>
  </r>
  <r>
    <s v="ORD200870"/>
    <d v="2025-06-01T00:00:00"/>
    <s v="C78725"/>
    <s v="Phone"/>
    <n v="4"/>
    <n v="470.09"/>
    <s v="541 Main St"/>
    <x v="0"/>
    <s v="Delivered"/>
    <s v="TRK72001139"/>
    <n v="4"/>
    <s v="FREESHIP"/>
    <x v="4"/>
    <n v="1880.36"/>
  </r>
  <r>
    <s v="ORD200871"/>
    <d v="2024-05-16T00:00:00"/>
    <s v="C93768"/>
    <s v="Tablet"/>
    <n v="3"/>
    <n v="324.3"/>
    <s v="720 Main St"/>
    <x v="0"/>
    <s v="Pending"/>
    <s v="TRK22024707"/>
    <n v="8"/>
    <s v="FREESHIP"/>
    <x v="2"/>
    <n v="972.90000000000009"/>
  </r>
  <r>
    <s v="ORD200872"/>
    <d v="2023-07-10T00:00:00"/>
    <s v="C59169"/>
    <s v="Chair"/>
    <n v="4"/>
    <n v="629.34"/>
    <s v="172 Main St"/>
    <x v="4"/>
    <s v="Shipped"/>
    <s v="TRK90883858"/>
    <n v="7"/>
    <m/>
    <x v="2"/>
    <n v="2517.36"/>
  </r>
  <r>
    <s v="ORD200873"/>
    <d v="2024-05-12T00:00:00"/>
    <s v="C53488"/>
    <s v="Desk"/>
    <n v="3"/>
    <n v="136.84"/>
    <s v="448 Main St"/>
    <x v="4"/>
    <s v="Delivered"/>
    <s v="TRK27365050"/>
    <n v="3"/>
    <s v="SAVE10"/>
    <x v="3"/>
    <n v="410.52"/>
  </r>
  <r>
    <s v="ORD200874"/>
    <d v="2023-10-31T00:00:00"/>
    <s v="C92180"/>
    <s v="Chair"/>
    <n v="2"/>
    <n v="488.9"/>
    <s v="632 Main St"/>
    <x v="4"/>
    <s v="Delivered"/>
    <s v="TRK93315929"/>
    <n v="7"/>
    <s v="FREESHIP"/>
    <x v="3"/>
    <n v="977.8"/>
  </r>
  <r>
    <s v="ORD200875"/>
    <d v="2023-08-03T00:00:00"/>
    <s v="C25918"/>
    <s v="Laptop"/>
    <n v="5"/>
    <n v="133.38999999999999"/>
    <s v="203 Main St"/>
    <x v="2"/>
    <s v="Delivered"/>
    <s v="TRK66473392"/>
    <n v="6"/>
    <s v="FREESHIP"/>
    <x v="1"/>
    <n v="666.94999999999993"/>
  </r>
  <r>
    <s v="ORD200876"/>
    <d v="2024-06-09T00:00:00"/>
    <s v="C90363"/>
    <s v="Chair"/>
    <n v="5"/>
    <n v="608.91"/>
    <s v="200 Main St"/>
    <x v="3"/>
    <s v="Pending"/>
    <s v="TRK21534173"/>
    <n v="6"/>
    <s v="SAVE10"/>
    <x v="4"/>
    <n v="3044.55"/>
  </r>
  <r>
    <s v="ORD200877"/>
    <d v="2024-07-25T00:00:00"/>
    <s v="C43867"/>
    <s v="Tablet"/>
    <n v="1"/>
    <n v="524.05999999999995"/>
    <s v="269 Main St"/>
    <x v="0"/>
    <s v="Pending"/>
    <s v="TRK97319127"/>
    <n v="3"/>
    <s v="FREESHIP"/>
    <x v="2"/>
    <n v="524.05999999999995"/>
  </r>
  <r>
    <s v="ORD200878"/>
    <d v="2023-06-01T00:00:00"/>
    <s v="C73873"/>
    <s v="Desk"/>
    <n v="2"/>
    <n v="330.69"/>
    <s v="393 Main St"/>
    <x v="1"/>
    <s v="Cancelled"/>
    <s v="TRK56423132"/>
    <n v="5"/>
    <s v="SAVE10"/>
    <x v="4"/>
    <n v="661.38"/>
  </r>
  <r>
    <s v="ORD200879"/>
    <d v="2025-04-08T00:00:00"/>
    <s v="C56622"/>
    <s v="Phone"/>
    <n v="2"/>
    <n v="547.66999999999996"/>
    <s v="932 Main St"/>
    <x v="3"/>
    <s v="Shipped"/>
    <s v="TRK86373987"/>
    <n v="3"/>
    <m/>
    <x v="0"/>
    <n v="1095.3399999999999"/>
  </r>
  <r>
    <s v="ORD200880"/>
    <d v="2025-03-12T00:00:00"/>
    <s v="C85074"/>
    <s v="Laptop"/>
    <n v="4"/>
    <n v="233.7"/>
    <s v="506 Main St"/>
    <x v="1"/>
    <s v="Shipped"/>
    <s v="TRK63133878"/>
    <n v="8"/>
    <s v="SAVE10"/>
    <x v="3"/>
    <n v="934.8"/>
  </r>
  <r>
    <s v="ORD200881"/>
    <d v="2023-01-03T00:00:00"/>
    <s v="C59579"/>
    <s v="Tablet"/>
    <n v="2"/>
    <n v="448.85"/>
    <s v="386 Main St"/>
    <x v="2"/>
    <s v="Pending"/>
    <s v="TRK48000034"/>
    <n v="6"/>
    <m/>
    <x v="0"/>
    <n v="897.7"/>
  </r>
  <r>
    <s v="ORD200882"/>
    <d v="2025-06-28T00:00:00"/>
    <s v="C43335"/>
    <s v="Phone"/>
    <n v="2"/>
    <n v="274.12"/>
    <s v="533 Main St"/>
    <x v="4"/>
    <s v="Delivered"/>
    <s v="TRK91848650"/>
    <n v="6"/>
    <s v="FREESHIP"/>
    <x v="1"/>
    <n v="548.24"/>
  </r>
  <r>
    <s v="ORD200883"/>
    <d v="2025-05-13T00:00:00"/>
    <s v="C43595"/>
    <s v="Printer"/>
    <n v="5"/>
    <n v="561.48"/>
    <s v="451 Main St"/>
    <x v="1"/>
    <s v="Delivered"/>
    <s v="TRK25317348"/>
    <n v="9"/>
    <s v="FREESHIP"/>
    <x v="3"/>
    <n v="2807.4"/>
  </r>
  <r>
    <s v="ORD200884"/>
    <d v="2024-05-15T00:00:00"/>
    <s v="C71471"/>
    <s v="Chair"/>
    <n v="1"/>
    <n v="595.54"/>
    <s v="817 Main St"/>
    <x v="3"/>
    <s v="Shipped"/>
    <s v="TRK52137079"/>
    <n v="4"/>
    <m/>
    <x v="0"/>
    <n v="595.54"/>
  </r>
  <r>
    <s v="ORD200885"/>
    <d v="2024-04-07T00:00:00"/>
    <s v="C61090"/>
    <s v="Laptop"/>
    <n v="4"/>
    <n v="515.59"/>
    <s v="387 Main St"/>
    <x v="2"/>
    <s v="Shipped"/>
    <s v="TRK36388962"/>
    <n v="7"/>
    <s v="FREESHIP"/>
    <x v="4"/>
    <n v="2062.36"/>
  </r>
  <r>
    <s v="ORD200886"/>
    <d v="2023-10-25T00:00:00"/>
    <s v="C29620"/>
    <s v="Phone"/>
    <n v="1"/>
    <n v="460.13"/>
    <s v="792 Main St"/>
    <x v="2"/>
    <s v="Returned"/>
    <s v="TRK22046456"/>
    <n v="1"/>
    <m/>
    <x v="4"/>
    <n v="460.13"/>
  </r>
  <r>
    <s v="ORD200887"/>
    <d v="2024-12-19T00:00:00"/>
    <s v="C67932"/>
    <s v="Chair"/>
    <n v="3"/>
    <n v="171.66"/>
    <s v="857 Main St"/>
    <x v="0"/>
    <s v="Delivered"/>
    <s v="TRK88547534"/>
    <n v="7"/>
    <m/>
    <x v="4"/>
    <n v="514.98"/>
  </r>
  <r>
    <s v="ORD200888"/>
    <d v="2024-07-23T00:00:00"/>
    <s v="C14427"/>
    <s v="Laptop"/>
    <n v="2"/>
    <n v="266.95"/>
    <s v="833 Main St"/>
    <x v="2"/>
    <s v="Pending"/>
    <s v="TRK58024529"/>
    <n v="3"/>
    <m/>
    <x v="0"/>
    <n v="533.9"/>
  </r>
  <r>
    <s v="ORD200889"/>
    <d v="2024-10-27T00:00:00"/>
    <s v="C36725"/>
    <s v="Monitor"/>
    <n v="5"/>
    <n v="650.72"/>
    <s v="350 Main St"/>
    <x v="2"/>
    <s v="Cancelled"/>
    <s v="TRK16808790"/>
    <n v="8"/>
    <s v="WINTER15"/>
    <x v="2"/>
    <n v="3253.6"/>
  </r>
  <r>
    <s v="ORD200890"/>
    <d v="2023-08-11T00:00:00"/>
    <s v="C51921"/>
    <s v="Laptop"/>
    <n v="3"/>
    <n v="439.53"/>
    <s v="943 Main St"/>
    <x v="0"/>
    <s v="Pending"/>
    <s v="TRK85741716"/>
    <n v="5"/>
    <m/>
    <x v="4"/>
    <n v="1318.59"/>
  </r>
  <r>
    <s v="ORD200891"/>
    <d v="2023-11-11T00:00:00"/>
    <s v="C36534"/>
    <s v="Monitor"/>
    <n v="3"/>
    <n v="654.54"/>
    <s v="918 Main St"/>
    <x v="4"/>
    <s v="Returned"/>
    <s v="TRK38952138"/>
    <n v="7"/>
    <s v="SAVE10"/>
    <x v="1"/>
    <n v="1963.62"/>
  </r>
  <r>
    <s v="ORD200892"/>
    <d v="2024-06-04T00:00:00"/>
    <s v="C72043"/>
    <s v="Desk"/>
    <n v="1"/>
    <n v="394.53"/>
    <s v="480 Main St"/>
    <x v="4"/>
    <s v="Shipped"/>
    <s v="TRK40896408"/>
    <n v="2"/>
    <s v="FREESHIP"/>
    <x v="1"/>
    <n v="394.53"/>
  </r>
  <r>
    <s v="ORD200893"/>
    <d v="2023-03-21T00:00:00"/>
    <s v="C99533"/>
    <s v="Monitor"/>
    <n v="1"/>
    <n v="678.01"/>
    <s v="696 Main St"/>
    <x v="4"/>
    <s v="Pending"/>
    <s v="TRK55701253"/>
    <n v="4"/>
    <s v="FREESHIP"/>
    <x v="1"/>
    <n v="678.01"/>
  </r>
  <r>
    <s v="ORD200894"/>
    <d v="2023-05-23T00:00:00"/>
    <s v="C90852"/>
    <s v="Tablet"/>
    <n v="3"/>
    <n v="575.01"/>
    <s v="852 Main St"/>
    <x v="1"/>
    <s v="Cancelled"/>
    <s v="TRK37551831"/>
    <n v="8"/>
    <s v="WINTER15"/>
    <x v="0"/>
    <n v="1725.03"/>
  </r>
  <r>
    <s v="ORD200895"/>
    <d v="2023-11-09T00:00:00"/>
    <s v="C81882"/>
    <s v="Chair"/>
    <n v="3"/>
    <n v="154.63999999999999"/>
    <s v="832 Main St"/>
    <x v="0"/>
    <s v="Pending"/>
    <s v="TRK62371264"/>
    <n v="6"/>
    <s v="WINTER15"/>
    <x v="3"/>
    <n v="463.92"/>
  </r>
  <r>
    <s v="ORD200896"/>
    <d v="2024-10-18T00:00:00"/>
    <s v="C85466"/>
    <s v="Desk"/>
    <n v="3"/>
    <n v="147.29"/>
    <s v="102 Main St"/>
    <x v="3"/>
    <s v="Shipped"/>
    <s v="TRK66764177"/>
    <n v="3"/>
    <s v="FREESHIP"/>
    <x v="4"/>
    <n v="441.87"/>
  </r>
  <r>
    <s v="ORD200897"/>
    <d v="2024-09-03T00:00:00"/>
    <s v="C87995"/>
    <s v="Laptop"/>
    <n v="4"/>
    <n v="481.48"/>
    <s v="358 Main St"/>
    <x v="3"/>
    <s v="Delivered"/>
    <s v="TRK38730545"/>
    <n v="5"/>
    <s v="SAVE10"/>
    <x v="0"/>
    <n v="1925.92"/>
  </r>
  <r>
    <s v="ORD200898"/>
    <d v="2025-03-05T00:00:00"/>
    <s v="C44619"/>
    <s v="Monitor"/>
    <n v="3"/>
    <n v="158.37"/>
    <s v="742 Main St"/>
    <x v="4"/>
    <s v="Shipped"/>
    <s v="TRK66662528"/>
    <n v="6"/>
    <m/>
    <x v="1"/>
    <n v="475.11"/>
  </r>
  <r>
    <s v="ORD200899"/>
    <d v="2025-04-23T00:00:00"/>
    <s v="C99904"/>
    <s v="Printer"/>
    <n v="2"/>
    <n v="323.37"/>
    <s v="552 Main St"/>
    <x v="1"/>
    <s v="Pending"/>
    <s v="TRK83843411"/>
    <n v="3"/>
    <s v="SAVE10"/>
    <x v="0"/>
    <n v="646.74"/>
  </r>
  <r>
    <s v="ORD200900"/>
    <d v="2025-02-07T00:00:00"/>
    <s v="C52342"/>
    <s v="Laptop"/>
    <n v="5"/>
    <n v="73.83"/>
    <s v="991 Main St"/>
    <x v="0"/>
    <s v="Pending"/>
    <s v="TRK67342586"/>
    <n v="9"/>
    <m/>
    <x v="0"/>
    <n v="369.15"/>
  </r>
  <r>
    <s v="ORD200901"/>
    <d v="2024-04-28T00:00:00"/>
    <s v="C44277"/>
    <s v="Tablet"/>
    <n v="1"/>
    <n v="458.63"/>
    <s v="839 Main St"/>
    <x v="0"/>
    <s v="Returned"/>
    <s v="TRK79321479"/>
    <n v="4"/>
    <s v="WINTER15"/>
    <x v="1"/>
    <n v="458.63"/>
  </r>
  <r>
    <s v="ORD200902"/>
    <d v="2024-07-13T00:00:00"/>
    <s v="C61162"/>
    <s v="Monitor"/>
    <n v="4"/>
    <n v="180.25"/>
    <s v="813 Main St"/>
    <x v="0"/>
    <s v="Cancelled"/>
    <s v="TRK76712124"/>
    <n v="7"/>
    <m/>
    <x v="3"/>
    <n v="721"/>
  </r>
  <r>
    <s v="ORD200903"/>
    <d v="2023-05-17T00:00:00"/>
    <s v="C80868"/>
    <s v="Monitor"/>
    <n v="3"/>
    <n v="473.49"/>
    <s v="205 Main St"/>
    <x v="2"/>
    <s v="Pending"/>
    <s v="TRK56186636"/>
    <n v="7"/>
    <m/>
    <x v="2"/>
    <n v="1420.47"/>
  </r>
  <r>
    <s v="ORD200904"/>
    <d v="2025-02-05T00:00:00"/>
    <s v="C16693"/>
    <s v="Monitor"/>
    <n v="4"/>
    <n v="237.43"/>
    <s v="262 Main St"/>
    <x v="4"/>
    <s v="Cancelled"/>
    <s v="TRK41146508"/>
    <n v="8"/>
    <s v="WINTER15"/>
    <x v="1"/>
    <n v="949.72"/>
  </r>
  <r>
    <s v="ORD200905"/>
    <d v="2023-11-23T00:00:00"/>
    <s v="C67818"/>
    <s v="Laptop"/>
    <n v="1"/>
    <n v="442.39"/>
    <s v="101 Main St"/>
    <x v="3"/>
    <s v="Pending"/>
    <s v="TRK81978113"/>
    <n v="6"/>
    <s v="FREESHIP"/>
    <x v="3"/>
    <n v="442.39"/>
  </r>
  <r>
    <s v="ORD200906"/>
    <d v="2024-09-03T00:00:00"/>
    <s v="C49938"/>
    <s v="Monitor"/>
    <n v="1"/>
    <n v="62.12"/>
    <s v="141 Main St"/>
    <x v="4"/>
    <s v="Returned"/>
    <s v="TRK80175572"/>
    <n v="2"/>
    <m/>
    <x v="2"/>
    <n v="62.12"/>
  </r>
  <r>
    <s v="ORD200907"/>
    <d v="2024-08-04T00:00:00"/>
    <s v="C90898"/>
    <s v="Desk"/>
    <n v="5"/>
    <n v="298.39"/>
    <s v="583 Main St"/>
    <x v="3"/>
    <s v="Cancelled"/>
    <s v="TRK52935170"/>
    <n v="7"/>
    <s v="WINTER15"/>
    <x v="1"/>
    <n v="1491.95"/>
  </r>
  <r>
    <s v="ORD200908"/>
    <d v="2025-05-06T00:00:00"/>
    <s v="C35117"/>
    <s v="Desk"/>
    <n v="2"/>
    <n v="697.93"/>
    <s v="332 Main St"/>
    <x v="2"/>
    <s v="Cancelled"/>
    <s v="TRK27155709"/>
    <n v="2"/>
    <s v="SAVE10"/>
    <x v="4"/>
    <n v="1395.86"/>
  </r>
  <r>
    <s v="ORD200909"/>
    <d v="2024-05-27T00:00:00"/>
    <s v="C60203"/>
    <s v="Tablet"/>
    <n v="2"/>
    <n v="291.85000000000002"/>
    <s v="569 Main St"/>
    <x v="4"/>
    <s v="Shipped"/>
    <s v="TRK76525279"/>
    <n v="5"/>
    <s v="FREESHIP"/>
    <x v="0"/>
    <n v="583.70000000000005"/>
  </r>
  <r>
    <s v="ORD200910"/>
    <d v="2024-05-31T00:00:00"/>
    <s v="C36174"/>
    <s v="Printer"/>
    <n v="3"/>
    <n v="308.98"/>
    <s v="348 Main St"/>
    <x v="4"/>
    <s v="Delivered"/>
    <s v="TRK26397548"/>
    <n v="3"/>
    <s v="SAVE10"/>
    <x v="0"/>
    <n v="926.94"/>
  </r>
  <r>
    <s v="ORD200911"/>
    <d v="2024-08-13T00:00:00"/>
    <s v="C80872"/>
    <s v="Desk"/>
    <n v="5"/>
    <n v="396.86"/>
    <s v="593 Main St"/>
    <x v="4"/>
    <s v="Cancelled"/>
    <s v="TRK43967487"/>
    <n v="9"/>
    <s v="SAVE10"/>
    <x v="0"/>
    <n v="1984.3"/>
  </r>
  <r>
    <s v="ORD200912"/>
    <d v="2024-01-22T00:00:00"/>
    <s v="C67604"/>
    <s v="Desk"/>
    <n v="2"/>
    <n v="139.69"/>
    <s v="318 Main St"/>
    <x v="1"/>
    <s v="Returned"/>
    <s v="TRK85545920"/>
    <n v="7"/>
    <s v="FREESHIP"/>
    <x v="2"/>
    <n v="279.38"/>
  </r>
  <r>
    <s v="ORD200913"/>
    <d v="2023-02-16T00:00:00"/>
    <s v="C45599"/>
    <s v="Printer"/>
    <n v="5"/>
    <n v="475.95"/>
    <s v="505 Main St"/>
    <x v="2"/>
    <s v="Returned"/>
    <s v="TRK62277685"/>
    <n v="8"/>
    <s v="WINTER15"/>
    <x v="3"/>
    <n v="2379.75"/>
  </r>
  <r>
    <s v="ORD200914"/>
    <d v="2025-02-10T00:00:00"/>
    <s v="C70352"/>
    <s v="Desk"/>
    <n v="1"/>
    <n v="626.6"/>
    <s v="955 Main St"/>
    <x v="3"/>
    <s v="Returned"/>
    <s v="TRK51589589"/>
    <n v="4"/>
    <s v="WINTER15"/>
    <x v="3"/>
    <n v="626.6"/>
  </r>
  <r>
    <s v="ORD200915"/>
    <d v="2024-02-16T00:00:00"/>
    <s v="C20643"/>
    <s v="Laptop"/>
    <n v="4"/>
    <n v="502.99"/>
    <s v="939 Main St"/>
    <x v="0"/>
    <s v="Shipped"/>
    <s v="TRK30736692"/>
    <n v="4"/>
    <s v="WINTER15"/>
    <x v="1"/>
    <n v="2011.96"/>
  </r>
  <r>
    <s v="ORD200916"/>
    <d v="2024-06-21T00:00:00"/>
    <s v="C35669"/>
    <s v="Printer"/>
    <n v="5"/>
    <n v="578.83000000000004"/>
    <s v="165 Main St"/>
    <x v="4"/>
    <s v="Returned"/>
    <s v="TRK13928455"/>
    <n v="6"/>
    <m/>
    <x v="1"/>
    <n v="2894.15"/>
  </r>
  <r>
    <s v="ORD200917"/>
    <d v="2025-01-20T00:00:00"/>
    <s v="C65524"/>
    <s v="Laptop"/>
    <n v="5"/>
    <n v="383.82"/>
    <s v="836 Main St"/>
    <x v="2"/>
    <s v="Returned"/>
    <s v="TRK19315310"/>
    <n v="7"/>
    <s v="FREESHIP"/>
    <x v="4"/>
    <n v="1919.1"/>
  </r>
  <r>
    <s v="ORD200918"/>
    <d v="2025-06-24T00:00:00"/>
    <s v="C74359"/>
    <s v="Laptop"/>
    <n v="5"/>
    <n v="368.25"/>
    <s v="706 Main St"/>
    <x v="1"/>
    <s v="Delivered"/>
    <s v="TRK18250450"/>
    <n v="5"/>
    <m/>
    <x v="0"/>
    <n v="1841.25"/>
  </r>
  <r>
    <s v="ORD200919"/>
    <d v="2025-02-07T00:00:00"/>
    <s v="C92086"/>
    <s v="Printer"/>
    <n v="2"/>
    <n v="374.6"/>
    <s v="187 Main St"/>
    <x v="1"/>
    <s v="Shipped"/>
    <s v="TRK23357668"/>
    <n v="3"/>
    <s v="FREESHIP"/>
    <x v="1"/>
    <n v="749.2"/>
  </r>
  <r>
    <s v="ORD200920"/>
    <d v="2025-03-12T00:00:00"/>
    <s v="C26137"/>
    <s v="Tablet"/>
    <n v="2"/>
    <n v="428.09"/>
    <s v="978 Main St"/>
    <x v="2"/>
    <s v="Returned"/>
    <s v="TRK98110407"/>
    <n v="6"/>
    <m/>
    <x v="0"/>
    <n v="856.18"/>
  </r>
  <r>
    <s v="ORD200921"/>
    <d v="2023-07-24T00:00:00"/>
    <s v="C90573"/>
    <s v="Tablet"/>
    <n v="1"/>
    <n v="438.93"/>
    <s v="144 Main St"/>
    <x v="3"/>
    <s v="Cancelled"/>
    <s v="TRK90075720"/>
    <n v="3"/>
    <s v="SAVE10"/>
    <x v="1"/>
    <n v="438.93"/>
  </r>
  <r>
    <s v="ORD200922"/>
    <d v="2024-06-17T00:00:00"/>
    <s v="C81857"/>
    <s v="Desk"/>
    <n v="2"/>
    <n v="563.82000000000005"/>
    <s v="487 Main St"/>
    <x v="2"/>
    <s v="Pending"/>
    <s v="TRK79737732"/>
    <n v="3"/>
    <m/>
    <x v="0"/>
    <n v="1127.6400000000001"/>
  </r>
  <r>
    <s v="ORD200923"/>
    <d v="2023-02-11T00:00:00"/>
    <s v="C91582"/>
    <s v="Printer"/>
    <n v="3"/>
    <n v="649.92999999999995"/>
    <s v="836 Main St"/>
    <x v="2"/>
    <s v="Pending"/>
    <s v="TRK99938245"/>
    <n v="7"/>
    <s v="WINTER15"/>
    <x v="3"/>
    <n v="1949.79"/>
  </r>
  <r>
    <s v="ORD200924"/>
    <d v="2025-03-22T00:00:00"/>
    <s v="C81319"/>
    <s v="Printer"/>
    <n v="5"/>
    <n v="268.43"/>
    <s v="991 Main St"/>
    <x v="4"/>
    <s v="Returned"/>
    <s v="TRK55330558"/>
    <n v="5"/>
    <s v="SAVE10"/>
    <x v="2"/>
    <n v="1342.15"/>
  </r>
  <r>
    <s v="ORD200925"/>
    <d v="2024-12-20T00:00:00"/>
    <s v="C78500"/>
    <s v="Monitor"/>
    <n v="5"/>
    <n v="502.47"/>
    <s v="304 Main St"/>
    <x v="1"/>
    <s v="Shipped"/>
    <s v="TRK97460884"/>
    <n v="10"/>
    <s v="WINTER15"/>
    <x v="2"/>
    <n v="2512.35"/>
  </r>
  <r>
    <s v="ORD200926"/>
    <d v="2024-03-20T00:00:00"/>
    <s v="C67533"/>
    <s v="Desk"/>
    <n v="1"/>
    <n v="26.95"/>
    <s v="672 Main St"/>
    <x v="4"/>
    <s v="Delivered"/>
    <s v="TRK14566395"/>
    <n v="1"/>
    <s v="WINTER15"/>
    <x v="2"/>
    <n v="26.95"/>
  </r>
  <r>
    <s v="ORD200927"/>
    <d v="2023-02-14T00:00:00"/>
    <s v="C35566"/>
    <s v="Laptop"/>
    <n v="4"/>
    <n v="64.69"/>
    <s v="638 Main St"/>
    <x v="0"/>
    <s v="Shipped"/>
    <s v="TRK10003020"/>
    <n v="7"/>
    <s v="WINTER15"/>
    <x v="4"/>
    <n v="258.76"/>
  </r>
  <r>
    <s v="ORD200928"/>
    <d v="2024-05-09T00:00:00"/>
    <s v="C77166"/>
    <s v="Laptop"/>
    <n v="3"/>
    <n v="247.11"/>
    <s v="821 Main St"/>
    <x v="0"/>
    <s v="Returned"/>
    <s v="TRK18896595"/>
    <n v="3"/>
    <s v="WINTER15"/>
    <x v="1"/>
    <n v="741.33"/>
  </r>
  <r>
    <s v="ORD200929"/>
    <d v="2024-10-16T00:00:00"/>
    <s v="C67936"/>
    <s v="Tablet"/>
    <n v="2"/>
    <n v="536.25"/>
    <s v="553 Main St"/>
    <x v="0"/>
    <s v="Pending"/>
    <s v="TRK71803414"/>
    <n v="3"/>
    <m/>
    <x v="2"/>
    <n v="1072.5"/>
  </r>
  <r>
    <s v="ORD200930"/>
    <d v="2024-12-16T00:00:00"/>
    <s v="C59554"/>
    <s v="Phone"/>
    <n v="2"/>
    <n v="456.04"/>
    <s v="382 Main St"/>
    <x v="0"/>
    <s v="Returned"/>
    <s v="TRK28182447"/>
    <n v="4"/>
    <s v="FREESHIP"/>
    <x v="2"/>
    <n v="912.08"/>
  </r>
  <r>
    <s v="ORD200931"/>
    <d v="2024-01-01T00:00:00"/>
    <s v="C14005"/>
    <s v="Printer"/>
    <n v="2"/>
    <n v="40.229999999999997"/>
    <s v="623 Main St"/>
    <x v="2"/>
    <s v="Cancelled"/>
    <s v="TRK87567926"/>
    <n v="4"/>
    <s v="SAVE10"/>
    <x v="4"/>
    <n v="80.459999999999994"/>
  </r>
  <r>
    <s v="ORD200932"/>
    <d v="2023-03-26T00:00:00"/>
    <s v="C26118"/>
    <s v="Laptop"/>
    <n v="2"/>
    <n v="72.39"/>
    <s v="168 Main St"/>
    <x v="1"/>
    <s v="Delivered"/>
    <s v="TRK15334251"/>
    <n v="7"/>
    <s v="WINTER15"/>
    <x v="0"/>
    <n v="144.78"/>
  </r>
  <r>
    <s v="ORD200933"/>
    <d v="2023-01-26T00:00:00"/>
    <s v="C59685"/>
    <s v="Monitor"/>
    <n v="2"/>
    <n v="394.16"/>
    <s v="255 Main St"/>
    <x v="1"/>
    <s v="Shipped"/>
    <s v="TRK43718093"/>
    <n v="2"/>
    <m/>
    <x v="1"/>
    <n v="788.32"/>
  </r>
  <r>
    <s v="ORD200934"/>
    <d v="2025-06-01T00:00:00"/>
    <s v="C40304"/>
    <s v="Laptop"/>
    <n v="4"/>
    <n v="119.84"/>
    <s v="692 Main St"/>
    <x v="3"/>
    <s v="Shipped"/>
    <s v="TRK85790948"/>
    <n v="8"/>
    <s v="FREESHIP"/>
    <x v="1"/>
    <n v="479.36"/>
  </r>
  <r>
    <s v="ORD200935"/>
    <d v="2023-11-24T00:00:00"/>
    <s v="C39593"/>
    <s v="Phone"/>
    <n v="3"/>
    <n v="692.71"/>
    <s v="398 Main St"/>
    <x v="2"/>
    <s v="Delivered"/>
    <s v="TRK62405253"/>
    <n v="3"/>
    <s v="FREESHIP"/>
    <x v="0"/>
    <n v="2078.13"/>
  </r>
  <r>
    <s v="ORD200936"/>
    <d v="2024-01-12T00:00:00"/>
    <s v="C50612"/>
    <s v="Chair"/>
    <n v="4"/>
    <n v="56.66"/>
    <s v="737 Main St"/>
    <x v="1"/>
    <s v="Delivered"/>
    <s v="TRK44140968"/>
    <n v="4"/>
    <s v="SAVE10"/>
    <x v="0"/>
    <n v="226.64"/>
  </r>
  <r>
    <s v="ORD200937"/>
    <d v="2024-01-16T00:00:00"/>
    <s v="C39791"/>
    <s v="Chair"/>
    <n v="2"/>
    <n v="298.52999999999997"/>
    <s v="536 Main St"/>
    <x v="0"/>
    <s v="Cancelled"/>
    <s v="TRK46221436"/>
    <n v="5"/>
    <s v="WINTER15"/>
    <x v="2"/>
    <n v="597.05999999999995"/>
  </r>
  <r>
    <s v="ORD200938"/>
    <d v="2023-07-12T00:00:00"/>
    <s v="C39017"/>
    <s v="Chair"/>
    <n v="3"/>
    <n v="331.46"/>
    <s v="696 Main St"/>
    <x v="2"/>
    <s v="Cancelled"/>
    <s v="TRK91155214"/>
    <n v="6"/>
    <s v="WINTER15"/>
    <x v="1"/>
    <n v="994.37999999999988"/>
  </r>
  <r>
    <s v="ORD200939"/>
    <d v="2025-04-16T00:00:00"/>
    <s v="C48510"/>
    <s v="Laptop"/>
    <n v="2"/>
    <n v="521.4"/>
    <s v="212 Main St"/>
    <x v="4"/>
    <s v="Delivered"/>
    <s v="TRK53152886"/>
    <n v="7"/>
    <s v="SAVE10"/>
    <x v="0"/>
    <n v="1042.8"/>
  </r>
  <r>
    <s v="ORD200940"/>
    <d v="2023-03-27T00:00:00"/>
    <s v="C74003"/>
    <s v="Printer"/>
    <n v="4"/>
    <n v="305.32"/>
    <s v="679 Main St"/>
    <x v="1"/>
    <s v="Cancelled"/>
    <s v="TRK91525779"/>
    <n v="4"/>
    <s v="SAVE10"/>
    <x v="4"/>
    <n v="1221.28"/>
  </r>
  <r>
    <s v="ORD200941"/>
    <d v="2023-07-17T00:00:00"/>
    <s v="C91155"/>
    <s v="Printer"/>
    <n v="5"/>
    <n v="111.7"/>
    <s v="599 Main St"/>
    <x v="2"/>
    <s v="Cancelled"/>
    <s v="TRK82162952"/>
    <n v="9"/>
    <s v="FREESHIP"/>
    <x v="2"/>
    <n v="558.5"/>
  </r>
  <r>
    <s v="ORD200942"/>
    <d v="2023-09-29T00:00:00"/>
    <s v="C17591"/>
    <s v="Tablet"/>
    <n v="1"/>
    <n v="479.76"/>
    <s v="882 Main St"/>
    <x v="2"/>
    <s v="Pending"/>
    <s v="TRK56070470"/>
    <n v="1"/>
    <m/>
    <x v="2"/>
    <n v="479.76"/>
  </r>
  <r>
    <s v="ORD200943"/>
    <d v="2023-12-27T00:00:00"/>
    <s v="C43330"/>
    <s v="Monitor"/>
    <n v="3"/>
    <n v="193.49"/>
    <s v="355 Main St"/>
    <x v="3"/>
    <s v="Returned"/>
    <s v="TRK71594838"/>
    <n v="6"/>
    <s v="FREESHIP"/>
    <x v="3"/>
    <n v="580.47"/>
  </r>
  <r>
    <s v="ORD200944"/>
    <d v="2024-12-16T00:00:00"/>
    <s v="C32687"/>
    <s v="Laptop"/>
    <n v="2"/>
    <n v="426.22"/>
    <s v="448 Main St"/>
    <x v="1"/>
    <s v="Delivered"/>
    <s v="TRK98284560"/>
    <n v="7"/>
    <s v="WINTER15"/>
    <x v="4"/>
    <n v="852.44"/>
  </r>
  <r>
    <s v="ORD200945"/>
    <d v="2023-08-20T00:00:00"/>
    <s v="C79722"/>
    <s v="Tablet"/>
    <n v="5"/>
    <n v="276.44"/>
    <s v="619 Main St"/>
    <x v="3"/>
    <s v="Shipped"/>
    <s v="TRK29976438"/>
    <n v="10"/>
    <s v="FREESHIP"/>
    <x v="1"/>
    <n v="1382.2"/>
  </r>
  <r>
    <s v="ORD200946"/>
    <d v="2024-05-04T00:00:00"/>
    <s v="C65021"/>
    <s v="Phone"/>
    <n v="2"/>
    <n v="404.96"/>
    <s v="546 Main St"/>
    <x v="4"/>
    <s v="Shipped"/>
    <s v="TRK20626179"/>
    <n v="4"/>
    <s v="SAVE10"/>
    <x v="2"/>
    <n v="809.92"/>
  </r>
  <r>
    <s v="ORD200947"/>
    <d v="2023-09-07T00:00:00"/>
    <s v="C85520"/>
    <s v="Phone"/>
    <n v="4"/>
    <n v="465.66"/>
    <s v="119 Main St"/>
    <x v="1"/>
    <s v="Returned"/>
    <s v="TRK65994177"/>
    <n v="9"/>
    <s v="FREESHIP"/>
    <x v="2"/>
    <n v="1862.64"/>
  </r>
  <r>
    <s v="ORD200948"/>
    <d v="2024-06-21T00:00:00"/>
    <s v="C94569"/>
    <s v="Phone"/>
    <n v="2"/>
    <n v="594.07000000000005"/>
    <s v="739 Main St"/>
    <x v="3"/>
    <s v="Cancelled"/>
    <s v="TRK79269291"/>
    <n v="2"/>
    <m/>
    <x v="4"/>
    <n v="1188.1400000000001"/>
  </r>
  <r>
    <s v="ORD200949"/>
    <d v="2023-11-09T00:00:00"/>
    <s v="C55778"/>
    <s v="Desk"/>
    <n v="5"/>
    <n v="110.38"/>
    <s v="319 Main St"/>
    <x v="4"/>
    <s v="Pending"/>
    <s v="TRK93797108"/>
    <n v="10"/>
    <m/>
    <x v="1"/>
    <n v="551.9"/>
  </r>
  <r>
    <s v="ORD200950"/>
    <d v="2024-05-31T00:00:00"/>
    <s v="C19722"/>
    <s v="Laptop"/>
    <n v="1"/>
    <n v="596.24"/>
    <s v="891 Main St"/>
    <x v="2"/>
    <s v="Returned"/>
    <s v="TRK78094361"/>
    <n v="4"/>
    <s v="FREESHIP"/>
    <x v="0"/>
    <n v="596.24"/>
  </r>
  <r>
    <s v="ORD200951"/>
    <d v="2024-07-22T00:00:00"/>
    <s v="C74928"/>
    <s v="Printer"/>
    <n v="2"/>
    <n v="306.24"/>
    <s v="589 Main St"/>
    <x v="1"/>
    <s v="Returned"/>
    <s v="TRK39845914"/>
    <n v="4"/>
    <s v="FREESHIP"/>
    <x v="2"/>
    <n v="612.48"/>
  </r>
  <r>
    <s v="ORD200952"/>
    <d v="2025-02-27T00:00:00"/>
    <s v="C49111"/>
    <s v="Monitor"/>
    <n v="3"/>
    <n v="503.39"/>
    <s v="225 Main St"/>
    <x v="1"/>
    <s v="Pending"/>
    <s v="TRK45303393"/>
    <n v="5"/>
    <m/>
    <x v="3"/>
    <n v="1510.17"/>
  </r>
  <r>
    <s v="ORD200953"/>
    <d v="2023-02-06T00:00:00"/>
    <s v="C43721"/>
    <s v="Phone"/>
    <n v="1"/>
    <n v="131.61000000000001"/>
    <s v="971 Main St"/>
    <x v="4"/>
    <s v="Shipped"/>
    <s v="TRK89392104"/>
    <n v="2"/>
    <s v="FREESHIP"/>
    <x v="3"/>
    <n v="131.61000000000001"/>
  </r>
  <r>
    <s v="ORD200954"/>
    <d v="2024-10-22T00:00:00"/>
    <s v="C68609"/>
    <s v="Chair"/>
    <n v="3"/>
    <n v="443.44"/>
    <s v="240 Main St"/>
    <x v="3"/>
    <s v="Shipped"/>
    <s v="TRK58273778"/>
    <n v="3"/>
    <s v="FREESHIP"/>
    <x v="4"/>
    <n v="1330.32"/>
  </r>
  <r>
    <s v="ORD200955"/>
    <d v="2023-01-23T00:00:00"/>
    <s v="C82068"/>
    <s v="Chair"/>
    <n v="1"/>
    <n v="408.13"/>
    <s v="164 Main St"/>
    <x v="3"/>
    <s v="Shipped"/>
    <s v="TRK25779180"/>
    <n v="3"/>
    <s v="WINTER15"/>
    <x v="0"/>
    <n v="408.13"/>
  </r>
  <r>
    <s v="ORD200956"/>
    <d v="2024-04-11T00:00:00"/>
    <s v="C21191"/>
    <s v="Phone"/>
    <n v="2"/>
    <n v="160.97999999999999"/>
    <s v="381 Main St"/>
    <x v="0"/>
    <s v="Delivered"/>
    <s v="TRK86246309"/>
    <n v="3"/>
    <s v="SAVE10"/>
    <x v="1"/>
    <n v="321.95999999999998"/>
  </r>
  <r>
    <s v="ORD200957"/>
    <d v="2023-01-12T00:00:00"/>
    <s v="C73575"/>
    <s v="Monitor"/>
    <n v="5"/>
    <n v="643.89"/>
    <s v="851 Main St"/>
    <x v="4"/>
    <s v="Returned"/>
    <s v="TRK23387612"/>
    <n v="8"/>
    <s v="WINTER15"/>
    <x v="3"/>
    <n v="3219.45"/>
  </r>
  <r>
    <s v="ORD200958"/>
    <d v="2023-05-13T00:00:00"/>
    <s v="C82685"/>
    <s v="Desk"/>
    <n v="3"/>
    <n v="158.66"/>
    <s v="537 Main St"/>
    <x v="3"/>
    <s v="Delivered"/>
    <s v="TRK70184320"/>
    <n v="7"/>
    <s v="WINTER15"/>
    <x v="2"/>
    <n v="475.98"/>
  </r>
  <r>
    <s v="ORD200959"/>
    <d v="2024-04-13T00:00:00"/>
    <s v="C73996"/>
    <s v="Tablet"/>
    <n v="2"/>
    <n v="143.82"/>
    <s v="856 Main St"/>
    <x v="2"/>
    <s v="Returned"/>
    <s v="TRK74579570"/>
    <n v="6"/>
    <s v="SAVE10"/>
    <x v="0"/>
    <n v="287.64"/>
  </r>
  <r>
    <s v="ORD200960"/>
    <d v="2023-12-11T00:00:00"/>
    <s v="C87687"/>
    <s v="Laptop"/>
    <n v="3"/>
    <n v="379.07"/>
    <s v="312 Main St"/>
    <x v="3"/>
    <s v="Pending"/>
    <s v="TRK60383805"/>
    <n v="3"/>
    <s v="WINTER15"/>
    <x v="4"/>
    <n v="1137.21"/>
  </r>
  <r>
    <s v="ORD200961"/>
    <d v="2024-11-11T00:00:00"/>
    <s v="C55464"/>
    <s v="Phone"/>
    <n v="1"/>
    <n v="601.36"/>
    <s v="532 Main St"/>
    <x v="1"/>
    <s v="Shipped"/>
    <s v="TRK81178598"/>
    <n v="1"/>
    <m/>
    <x v="3"/>
    <n v="601.36"/>
  </r>
  <r>
    <s v="ORD200962"/>
    <d v="2024-09-06T00:00:00"/>
    <s v="C12459"/>
    <s v="Phone"/>
    <n v="2"/>
    <n v="142.08000000000001"/>
    <s v="838 Main St"/>
    <x v="3"/>
    <s v="Delivered"/>
    <s v="TRK30674085"/>
    <n v="4"/>
    <s v="SAVE10"/>
    <x v="1"/>
    <n v="284.16000000000003"/>
  </r>
  <r>
    <s v="ORD200963"/>
    <d v="2024-03-11T00:00:00"/>
    <s v="C88075"/>
    <s v="Chair"/>
    <n v="5"/>
    <n v="530.34"/>
    <s v="970 Main St"/>
    <x v="1"/>
    <s v="Shipped"/>
    <s v="TRK42832976"/>
    <n v="9"/>
    <s v="FREESHIP"/>
    <x v="4"/>
    <n v="2651.7"/>
  </r>
  <r>
    <s v="ORD200964"/>
    <d v="2023-08-20T00:00:00"/>
    <s v="C18583"/>
    <s v="Phone"/>
    <n v="5"/>
    <n v="364.42"/>
    <s v="778 Main St"/>
    <x v="2"/>
    <s v="Cancelled"/>
    <s v="TRK43084595"/>
    <n v="10"/>
    <s v="SAVE10"/>
    <x v="1"/>
    <n v="1822.1"/>
  </r>
  <r>
    <s v="ORD200965"/>
    <d v="2025-06-18T00:00:00"/>
    <s v="C70412"/>
    <s v="Laptop"/>
    <n v="4"/>
    <n v="578.28"/>
    <s v="791 Main St"/>
    <x v="3"/>
    <s v="Cancelled"/>
    <s v="TRK22192783"/>
    <n v="5"/>
    <s v="FREESHIP"/>
    <x v="2"/>
    <n v="2313.12"/>
  </r>
  <r>
    <s v="ORD200966"/>
    <d v="2025-05-20T00:00:00"/>
    <s v="C58503"/>
    <s v="Monitor"/>
    <n v="5"/>
    <n v="280.52"/>
    <s v="290 Main St"/>
    <x v="2"/>
    <s v="Cancelled"/>
    <s v="TRK12981657"/>
    <n v="7"/>
    <s v="WINTER15"/>
    <x v="3"/>
    <n v="1402.6"/>
  </r>
  <r>
    <s v="ORD200967"/>
    <d v="2025-05-06T00:00:00"/>
    <s v="C52879"/>
    <s v="Tablet"/>
    <n v="5"/>
    <n v="638.91999999999996"/>
    <s v="502 Main St"/>
    <x v="2"/>
    <s v="Returned"/>
    <s v="TRK67403284"/>
    <n v="5"/>
    <s v="FREESHIP"/>
    <x v="4"/>
    <n v="3194.6"/>
  </r>
  <r>
    <s v="ORD200968"/>
    <d v="2024-02-08T00:00:00"/>
    <s v="C67870"/>
    <s v="Monitor"/>
    <n v="4"/>
    <n v="412.2"/>
    <s v="664 Main St"/>
    <x v="2"/>
    <s v="Shipped"/>
    <s v="TRK72602178"/>
    <n v="6"/>
    <s v="WINTER15"/>
    <x v="1"/>
    <n v="1648.8"/>
  </r>
  <r>
    <s v="ORD200969"/>
    <d v="2025-06-05T00:00:00"/>
    <s v="C19439"/>
    <s v="Desk"/>
    <n v="1"/>
    <n v="440.34"/>
    <s v="675 Main St"/>
    <x v="3"/>
    <s v="Shipped"/>
    <s v="TRK25383993"/>
    <n v="2"/>
    <s v="WINTER15"/>
    <x v="3"/>
    <n v="440.34"/>
  </r>
  <r>
    <s v="ORD200970"/>
    <d v="2024-09-07T00:00:00"/>
    <s v="C72664"/>
    <s v="Desk"/>
    <n v="1"/>
    <n v="627.15"/>
    <s v="241 Main St"/>
    <x v="4"/>
    <s v="Delivered"/>
    <s v="TRK86694331"/>
    <n v="5"/>
    <s v="SAVE10"/>
    <x v="0"/>
    <n v="627.15"/>
  </r>
  <r>
    <s v="ORD200971"/>
    <d v="2024-05-27T00:00:00"/>
    <s v="C32650"/>
    <s v="Monitor"/>
    <n v="2"/>
    <n v="605.26"/>
    <s v="934 Main St"/>
    <x v="4"/>
    <s v="Cancelled"/>
    <s v="TRK66648743"/>
    <n v="4"/>
    <s v="WINTER15"/>
    <x v="1"/>
    <n v="1210.52"/>
  </r>
  <r>
    <s v="ORD200972"/>
    <d v="2024-06-09T00:00:00"/>
    <s v="C66438"/>
    <s v="Laptop"/>
    <n v="1"/>
    <n v="90.27"/>
    <s v="816 Main St"/>
    <x v="4"/>
    <s v="Delivered"/>
    <s v="TRK32035271"/>
    <n v="5"/>
    <s v="SAVE10"/>
    <x v="3"/>
    <n v="90.27"/>
  </r>
  <r>
    <s v="ORD200973"/>
    <d v="2025-06-09T00:00:00"/>
    <s v="C70010"/>
    <s v="Desk"/>
    <n v="5"/>
    <n v="230.77"/>
    <s v="141 Main St"/>
    <x v="1"/>
    <s v="Pending"/>
    <s v="TRK50594008"/>
    <n v="10"/>
    <s v="WINTER15"/>
    <x v="1"/>
    <n v="1153.8499999999999"/>
  </r>
  <r>
    <s v="ORD200974"/>
    <d v="2023-09-27T00:00:00"/>
    <s v="C30722"/>
    <s v="Desk"/>
    <n v="5"/>
    <n v="266.77999999999997"/>
    <s v="274 Main St"/>
    <x v="3"/>
    <s v="Cancelled"/>
    <s v="TRK52088168"/>
    <n v="5"/>
    <m/>
    <x v="2"/>
    <n v="1333.9"/>
  </r>
  <r>
    <s v="ORD200975"/>
    <d v="2023-05-18T00:00:00"/>
    <s v="C70529"/>
    <s v="Desk"/>
    <n v="1"/>
    <n v="105.92"/>
    <s v="974 Main St"/>
    <x v="3"/>
    <s v="Returned"/>
    <s v="TRK82165408"/>
    <n v="6"/>
    <s v="SAVE10"/>
    <x v="2"/>
    <n v="105.92"/>
  </r>
  <r>
    <s v="ORD200976"/>
    <d v="2024-04-04T00:00:00"/>
    <s v="C18984"/>
    <s v="Tablet"/>
    <n v="3"/>
    <n v="589.29999999999995"/>
    <s v="650 Main St"/>
    <x v="2"/>
    <s v="Returned"/>
    <s v="TRK49298239"/>
    <n v="6"/>
    <s v="WINTER15"/>
    <x v="1"/>
    <n v="1767.9"/>
  </r>
  <r>
    <s v="ORD200977"/>
    <d v="2023-01-28T00:00:00"/>
    <s v="C85841"/>
    <s v="Chair"/>
    <n v="4"/>
    <n v="649.47"/>
    <s v="608 Main St"/>
    <x v="4"/>
    <s v="Pending"/>
    <s v="TRK99820544"/>
    <n v="8"/>
    <s v="SAVE10"/>
    <x v="4"/>
    <n v="2597.88"/>
  </r>
  <r>
    <s v="ORD200978"/>
    <d v="2024-06-25T00:00:00"/>
    <s v="C41508"/>
    <s v="Printer"/>
    <n v="4"/>
    <n v="107.49"/>
    <s v="993 Main St"/>
    <x v="4"/>
    <s v="Delivered"/>
    <s v="TRK61047536"/>
    <n v="5"/>
    <m/>
    <x v="4"/>
    <n v="429.96"/>
  </r>
  <r>
    <s v="ORD200979"/>
    <d v="2023-05-31T00:00:00"/>
    <s v="C75018"/>
    <s v="Monitor"/>
    <n v="3"/>
    <n v="669.06"/>
    <s v="299 Main St"/>
    <x v="4"/>
    <s v="Delivered"/>
    <s v="TRK51794806"/>
    <n v="7"/>
    <s v="SAVE10"/>
    <x v="3"/>
    <n v="2007.18"/>
  </r>
  <r>
    <s v="ORD200980"/>
    <d v="2023-10-14T00:00:00"/>
    <s v="C84320"/>
    <s v="Chair"/>
    <n v="3"/>
    <n v="69.650000000000006"/>
    <s v="107 Main St"/>
    <x v="4"/>
    <s v="Delivered"/>
    <s v="TRK81093218"/>
    <n v="7"/>
    <s v="WINTER15"/>
    <x v="0"/>
    <n v="208.95"/>
  </r>
  <r>
    <s v="ORD200981"/>
    <d v="2023-11-26T00:00:00"/>
    <s v="C12609"/>
    <s v="Phone"/>
    <n v="4"/>
    <n v="136.83000000000001"/>
    <s v="490 Main St"/>
    <x v="0"/>
    <s v="Pending"/>
    <s v="TRK56379337"/>
    <n v="8"/>
    <s v="SAVE10"/>
    <x v="2"/>
    <n v="547.32000000000005"/>
  </r>
  <r>
    <s v="ORD200982"/>
    <d v="2024-09-06T00:00:00"/>
    <s v="C64935"/>
    <s v="Monitor"/>
    <n v="1"/>
    <n v="304.11"/>
    <s v="707 Main St"/>
    <x v="3"/>
    <s v="Shipped"/>
    <s v="TRK42969065"/>
    <n v="2"/>
    <s v="SAVE10"/>
    <x v="1"/>
    <n v="304.11"/>
  </r>
  <r>
    <s v="ORD200983"/>
    <d v="2024-11-24T00:00:00"/>
    <s v="C67528"/>
    <s v="Monitor"/>
    <n v="4"/>
    <n v="296.27999999999997"/>
    <s v="110 Main St"/>
    <x v="3"/>
    <s v="Shipped"/>
    <s v="TRK60865210"/>
    <n v="5"/>
    <s v="SAVE10"/>
    <x v="2"/>
    <n v="1185.1199999999999"/>
  </r>
  <r>
    <s v="ORD200984"/>
    <d v="2025-02-28T00:00:00"/>
    <s v="C44176"/>
    <s v="Desk"/>
    <n v="1"/>
    <n v="77.64"/>
    <s v="706 Main St"/>
    <x v="2"/>
    <s v="Shipped"/>
    <s v="TRK68704764"/>
    <n v="1"/>
    <s v="FREESHIP"/>
    <x v="3"/>
    <n v="77.64"/>
  </r>
  <r>
    <s v="ORD200985"/>
    <d v="2024-07-20T00:00:00"/>
    <s v="C92788"/>
    <s v="Desk"/>
    <n v="1"/>
    <n v="243.71"/>
    <s v="948 Main St"/>
    <x v="3"/>
    <s v="Delivered"/>
    <s v="TRK83835361"/>
    <n v="6"/>
    <s v="SAVE10"/>
    <x v="4"/>
    <n v="243.71"/>
  </r>
  <r>
    <s v="ORD200986"/>
    <d v="2024-09-07T00:00:00"/>
    <s v="C69213"/>
    <s v="Laptop"/>
    <n v="4"/>
    <n v="644.96"/>
    <s v="533 Main St"/>
    <x v="2"/>
    <s v="Pending"/>
    <s v="TRK67837331"/>
    <n v="7"/>
    <s v="FREESHIP"/>
    <x v="2"/>
    <n v="2579.84"/>
  </r>
  <r>
    <s v="ORD200987"/>
    <d v="2025-06-05T00:00:00"/>
    <s v="C67387"/>
    <s v="Phone"/>
    <n v="5"/>
    <n v="283.73"/>
    <s v="436 Main St"/>
    <x v="3"/>
    <s v="Pending"/>
    <s v="TRK54120003"/>
    <n v="8"/>
    <s v="FREESHIP"/>
    <x v="0"/>
    <n v="1418.65"/>
  </r>
  <r>
    <s v="ORD200988"/>
    <d v="2025-02-04T00:00:00"/>
    <s v="C90318"/>
    <s v="Desk"/>
    <n v="2"/>
    <n v="629.55999999999995"/>
    <s v="818 Main St"/>
    <x v="3"/>
    <s v="Cancelled"/>
    <s v="TRK52765043"/>
    <n v="5"/>
    <s v="WINTER15"/>
    <x v="0"/>
    <n v="1259.1199999999999"/>
  </r>
  <r>
    <s v="ORD200989"/>
    <d v="2023-03-23T00:00:00"/>
    <s v="C49995"/>
    <s v="Laptop"/>
    <n v="4"/>
    <n v="246.11"/>
    <s v="559 Main St"/>
    <x v="2"/>
    <s v="Pending"/>
    <s v="TRK33212013"/>
    <n v="4"/>
    <s v="SAVE10"/>
    <x v="0"/>
    <n v="984.44"/>
  </r>
  <r>
    <s v="ORD200990"/>
    <d v="2023-11-19T00:00:00"/>
    <s v="C52313"/>
    <s v="Phone"/>
    <n v="2"/>
    <n v="418.26"/>
    <s v="913 Main St"/>
    <x v="0"/>
    <s v="Pending"/>
    <s v="TRK67368559"/>
    <n v="2"/>
    <s v="SAVE10"/>
    <x v="4"/>
    <n v="836.52"/>
  </r>
  <r>
    <s v="ORD200991"/>
    <d v="2024-05-09T00:00:00"/>
    <s v="C10211"/>
    <s v="Desk"/>
    <n v="5"/>
    <n v="127.18"/>
    <s v="598 Main St"/>
    <x v="0"/>
    <s v="Cancelled"/>
    <s v="TRK68938335"/>
    <n v="10"/>
    <s v="FREESHIP"/>
    <x v="4"/>
    <n v="635.90000000000009"/>
  </r>
  <r>
    <s v="ORD200992"/>
    <d v="2024-08-27T00:00:00"/>
    <s v="C97907"/>
    <s v="Printer"/>
    <n v="3"/>
    <n v="586.21"/>
    <s v="933 Main St"/>
    <x v="3"/>
    <s v="Pending"/>
    <s v="TRK89637569"/>
    <n v="4"/>
    <s v="WINTER15"/>
    <x v="1"/>
    <n v="1758.63"/>
  </r>
  <r>
    <s v="ORD200993"/>
    <d v="2024-04-06T00:00:00"/>
    <s v="C61384"/>
    <s v="Monitor"/>
    <n v="3"/>
    <n v="267.45"/>
    <s v="576 Main St"/>
    <x v="3"/>
    <s v="Delivered"/>
    <s v="TRK33323210"/>
    <n v="5"/>
    <s v="WINTER15"/>
    <x v="0"/>
    <n v="802.34999999999991"/>
  </r>
  <r>
    <s v="ORD200994"/>
    <d v="2024-06-27T00:00:00"/>
    <s v="C27613"/>
    <s v="Tablet"/>
    <n v="4"/>
    <n v="615.65"/>
    <s v="971 Main St"/>
    <x v="0"/>
    <s v="Delivered"/>
    <s v="TRK63701318"/>
    <n v="9"/>
    <s v="WINTER15"/>
    <x v="4"/>
    <n v="2462.6"/>
  </r>
  <r>
    <s v="ORD200995"/>
    <d v="2023-11-18T00:00:00"/>
    <s v="C99271"/>
    <s v="Monitor"/>
    <n v="2"/>
    <n v="113.29"/>
    <s v="959 Main St"/>
    <x v="4"/>
    <s v="Pending"/>
    <s v="TRK87832736"/>
    <n v="5"/>
    <s v="SAVE10"/>
    <x v="3"/>
    <n v="226.58"/>
  </r>
  <r>
    <s v="ORD200996"/>
    <d v="2024-04-28T00:00:00"/>
    <s v="C28648"/>
    <s v="Monitor"/>
    <n v="4"/>
    <n v="473.86"/>
    <s v="101 Main St"/>
    <x v="0"/>
    <s v="Delivered"/>
    <s v="TRK92240846"/>
    <n v="7"/>
    <s v="SAVE10"/>
    <x v="3"/>
    <n v="1895.44"/>
  </r>
  <r>
    <s v="ORD200997"/>
    <d v="2023-11-27T00:00:00"/>
    <s v="C26210"/>
    <s v="Laptop"/>
    <n v="3"/>
    <n v="444.75"/>
    <s v="805 Main St"/>
    <x v="4"/>
    <s v="Delivered"/>
    <s v="TRK40616861"/>
    <n v="6"/>
    <s v="SAVE10"/>
    <x v="3"/>
    <n v="1334.25"/>
  </r>
  <r>
    <s v="ORD200998"/>
    <d v="2023-05-19T00:00:00"/>
    <s v="C90350"/>
    <s v="Phone"/>
    <n v="2"/>
    <n v="183.67"/>
    <s v="783 Main St"/>
    <x v="0"/>
    <s v="Cancelled"/>
    <s v="TRK22824230"/>
    <n v="6"/>
    <s v="SAVE10"/>
    <x v="4"/>
    <n v="367.34"/>
  </r>
  <r>
    <s v="ORD200999"/>
    <d v="2023-12-24T00:00:00"/>
    <s v="C61957"/>
    <s v="Printer"/>
    <n v="1"/>
    <n v="483.38"/>
    <s v="652 Main St"/>
    <x v="4"/>
    <s v="Pending"/>
    <s v="TRK43983841"/>
    <n v="6"/>
    <s v="FREESHIP"/>
    <x v="4"/>
    <n v="483.38"/>
  </r>
  <r>
    <s v="ORD201000"/>
    <d v="2023-06-21T00:00:00"/>
    <s v="C90132"/>
    <s v="Printer"/>
    <n v="5"/>
    <n v="260.93"/>
    <s v="582 Main St"/>
    <x v="1"/>
    <s v="Delivered"/>
    <s v="TRK52664903"/>
    <n v="9"/>
    <s v="SAVE10"/>
    <x v="2"/>
    <n v="1304.6500000000001"/>
  </r>
  <r>
    <s v="ORD201001"/>
    <d v="2023-12-08T00:00:00"/>
    <s v="C31371"/>
    <s v="Printer"/>
    <n v="2"/>
    <n v="253.68"/>
    <s v="122 Main St"/>
    <x v="3"/>
    <s v="Shipped"/>
    <s v="TRK19554327"/>
    <n v="6"/>
    <m/>
    <x v="1"/>
    <n v="507.36"/>
  </r>
  <r>
    <s v="ORD201002"/>
    <d v="2025-06-19T00:00:00"/>
    <s v="C83911"/>
    <s v="Tablet"/>
    <n v="4"/>
    <n v="699.88"/>
    <s v="944 Main St"/>
    <x v="4"/>
    <s v="Pending"/>
    <s v="TRK33188106"/>
    <n v="5"/>
    <s v="WINTER15"/>
    <x v="1"/>
    <n v="2799.52"/>
  </r>
  <r>
    <s v="ORD201003"/>
    <d v="2023-01-11T00:00:00"/>
    <s v="C84700"/>
    <s v="Printer"/>
    <n v="5"/>
    <n v="319.97000000000003"/>
    <s v="582 Main St"/>
    <x v="4"/>
    <s v="Shipped"/>
    <s v="TRK14706969"/>
    <n v="7"/>
    <s v="SAVE10"/>
    <x v="4"/>
    <n v="1599.85"/>
  </r>
  <r>
    <s v="ORD201004"/>
    <d v="2025-06-09T00:00:00"/>
    <s v="C87529"/>
    <s v="Chair"/>
    <n v="4"/>
    <n v="246.91"/>
    <s v="296 Main St"/>
    <x v="1"/>
    <s v="Pending"/>
    <s v="TRK15739505"/>
    <n v="8"/>
    <s v="SAVE10"/>
    <x v="1"/>
    <n v="987.64"/>
  </r>
  <r>
    <s v="ORD201005"/>
    <d v="2023-03-02T00:00:00"/>
    <s v="C38065"/>
    <s v="Printer"/>
    <n v="3"/>
    <n v="392.85"/>
    <s v="426 Main St"/>
    <x v="2"/>
    <s v="Returned"/>
    <s v="TRK11448295"/>
    <n v="6"/>
    <m/>
    <x v="4"/>
    <n v="1178.55"/>
  </r>
  <r>
    <s v="ORD201006"/>
    <d v="2024-05-27T00:00:00"/>
    <s v="C27435"/>
    <s v="Tablet"/>
    <n v="5"/>
    <n v="420.98"/>
    <s v="860 Main St"/>
    <x v="4"/>
    <s v="Delivered"/>
    <s v="TRK91458233"/>
    <n v="7"/>
    <s v="SAVE10"/>
    <x v="3"/>
    <n v="2104.9"/>
  </r>
  <r>
    <s v="ORD201007"/>
    <d v="2024-03-20T00:00:00"/>
    <s v="C46651"/>
    <s v="Monitor"/>
    <n v="2"/>
    <n v="73.260000000000005"/>
    <s v="839 Main St"/>
    <x v="4"/>
    <s v="Pending"/>
    <s v="TRK60444502"/>
    <n v="4"/>
    <s v="WINTER15"/>
    <x v="3"/>
    <n v="146.52000000000001"/>
  </r>
  <r>
    <s v="ORD201008"/>
    <d v="2023-01-13T00:00:00"/>
    <s v="C62557"/>
    <s v="Monitor"/>
    <n v="3"/>
    <n v="410.88"/>
    <s v="257 Main St"/>
    <x v="4"/>
    <s v="Delivered"/>
    <s v="TRK12742366"/>
    <n v="8"/>
    <s v="FREESHIP"/>
    <x v="0"/>
    <n v="1232.6400000000001"/>
  </r>
  <r>
    <s v="ORD201009"/>
    <d v="2023-09-02T00:00:00"/>
    <s v="C54494"/>
    <s v="Tablet"/>
    <n v="2"/>
    <n v="176.46"/>
    <s v="696 Main St"/>
    <x v="2"/>
    <s v="Delivered"/>
    <s v="TRK95958645"/>
    <n v="2"/>
    <s v="FREESHIP"/>
    <x v="2"/>
    <n v="352.92"/>
  </r>
  <r>
    <s v="ORD201010"/>
    <d v="2023-03-31T00:00:00"/>
    <s v="C33729"/>
    <s v="Monitor"/>
    <n v="3"/>
    <n v="659.57"/>
    <s v="533 Main St"/>
    <x v="2"/>
    <s v="Cancelled"/>
    <s v="TRK35649833"/>
    <n v="6"/>
    <s v="SAVE10"/>
    <x v="2"/>
    <n v="1978.71"/>
  </r>
  <r>
    <s v="ORD201011"/>
    <d v="2024-12-03T00:00:00"/>
    <s v="C47823"/>
    <s v="Phone"/>
    <n v="2"/>
    <n v="478.36"/>
    <s v="654 Main St"/>
    <x v="1"/>
    <s v="Shipped"/>
    <s v="TRK22271097"/>
    <n v="3"/>
    <m/>
    <x v="4"/>
    <n v="956.72"/>
  </r>
  <r>
    <s v="ORD201012"/>
    <d v="2024-12-03T00:00:00"/>
    <s v="C84570"/>
    <s v="Printer"/>
    <n v="4"/>
    <n v="30.05"/>
    <s v="301 Main St"/>
    <x v="1"/>
    <s v="Returned"/>
    <s v="TRK12551882"/>
    <n v="6"/>
    <m/>
    <x v="3"/>
    <n v="120.2"/>
  </r>
  <r>
    <s v="ORD201013"/>
    <d v="2025-04-26T00:00:00"/>
    <s v="C91123"/>
    <s v="Laptop"/>
    <n v="4"/>
    <n v="300.56"/>
    <s v="842 Main St"/>
    <x v="4"/>
    <s v="Cancelled"/>
    <s v="TRK49568409"/>
    <n v="9"/>
    <s v="FREESHIP"/>
    <x v="3"/>
    <n v="1202.24"/>
  </r>
  <r>
    <s v="ORD201014"/>
    <d v="2024-02-04T00:00:00"/>
    <s v="C92548"/>
    <s v="Tablet"/>
    <n v="5"/>
    <n v="226.45"/>
    <s v="160 Main St"/>
    <x v="0"/>
    <s v="Returned"/>
    <s v="TRK21682892"/>
    <n v="6"/>
    <s v="FREESHIP"/>
    <x v="2"/>
    <n v="1132.25"/>
  </r>
  <r>
    <s v="ORD201015"/>
    <d v="2024-01-26T00:00:00"/>
    <s v="C97454"/>
    <s v="Printer"/>
    <n v="2"/>
    <n v="349.4"/>
    <s v="892 Main St"/>
    <x v="1"/>
    <s v="Shipped"/>
    <s v="TRK73249329"/>
    <n v="2"/>
    <s v="SAVE10"/>
    <x v="0"/>
    <n v="698.8"/>
  </r>
  <r>
    <s v="ORD201016"/>
    <d v="2023-12-29T00:00:00"/>
    <s v="C20257"/>
    <s v="Tablet"/>
    <n v="5"/>
    <n v="268.77999999999997"/>
    <s v="669 Main St"/>
    <x v="0"/>
    <s v="Delivered"/>
    <s v="TRK62135578"/>
    <n v="7"/>
    <s v="WINTER15"/>
    <x v="2"/>
    <n v="1343.9"/>
  </r>
  <r>
    <s v="ORD201017"/>
    <d v="2024-08-25T00:00:00"/>
    <s v="C51694"/>
    <s v="Chair"/>
    <n v="2"/>
    <n v="680.85"/>
    <s v="953 Main St"/>
    <x v="3"/>
    <s v="Delivered"/>
    <s v="TRK83122112"/>
    <n v="6"/>
    <s v="FREESHIP"/>
    <x v="1"/>
    <n v="1361.7"/>
  </r>
  <r>
    <s v="ORD201018"/>
    <d v="2023-07-08T00:00:00"/>
    <s v="C77499"/>
    <s v="Laptop"/>
    <n v="3"/>
    <n v="182.48"/>
    <s v="209 Main St"/>
    <x v="4"/>
    <s v="Delivered"/>
    <s v="TRK20703086"/>
    <n v="3"/>
    <m/>
    <x v="0"/>
    <n v="547.43999999999994"/>
  </r>
  <r>
    <s v="ORD201019"/>
    <d v="2024-04-06T00:00:00"/>
    <s v="C28386"/>
    <s v="Desk"/>
    <n v="1"/>
    <n v="277.08999999999997"/>
    <s v="293 Main St"/>
    <x v="4"/>
    <s v="Returned"/>
    <s v="TRK32954229"/>
    <n v="2"/>
    <s v="SAVE10"/>
    <x v="1"/>
    <n v="277.08999999999997"/>
  </r>
  <r>
    <s v="ORD201020"/>
    <d v="2024-04-22T00:00:00"/>
    <s v="C50211"/>
    <s v="Tablet"/>
    <n v="2"/>
    <n v="26.5"/>
    <s v="312 Main St"/>
    <x v="1"/>
    <s v="Delivered"/>
    <s v="TRK47787981"/>
    <n v="3"/>
    <s v="SAVE10"/>
    <x v="0"/>
    <n v="53"/>
  </r>
  <r>
    <s v="ORD201021"/>
    <d v="2023-10-23T00:00:00"/>
    <s v="C74519"/>
    <s v="Phone"/>
    <n v="3"/>
    <n v="315.27"/>
    <s v="309 Main St"/>
    <x v="2"/>
    <s v="Cancelled"/>
    <s v="TRK97351945"/>
    <n v="4"/>
    <s v="SAVE10"/>
    <x v="2"/>
    <n v="945.81"/>
  </r>
  <r>
    <s v="ORD201022"/>
    <d v="2025-02-24T00:00:00"/>
    <s v="C19071"/>
    <s v="Tablet"/>
    <n v="3"/>
    <n v="450.98"/>
    <s v="396 Main St"/>
    <x v="2"/>
    <s v="Shipped"/>
    <s v="TRK66537096"/>
    <n v="8"/>
    <s v="SAVE10"/>
    <x v="1"/>
    <n v="1352.94"/>
  </r>
  <r>
    <s v="ORD201023"/>
    <d v="2024-09-23T00:00:00"/>
    <s v="C65251"/>
    <s v="Laptop"/>
    <n v="5"/>
    <n v="233.67"/>
    <s v="291 Main St"/>
    <x v="4"/>
    <s v="Shipped"/>
    <s v="TRK32059025"/>
    <n v="10"/>
    <m/>
    <x v="1"/>
    <n v="1168.3499999999999"/>
  </r>
  <r>
    <s v="ORD201024"/>
    <d v="2024-01-29T00:00:00"/>
    <s v="C90612"/>
    <s v="Chair"/>
    <n v="3"/>
    <n v="367.75"/>
    <s v="731 Main St"/>
    <x v="4"/>
    <s v="Pending"/>
    <s v="TRK93022878"/>
    <n v="7"/>
    <s v="FREESHIP"/>
    <x v="3"/>
    <n v="1103.25"/>
  </r>
  <r>
    <s v="ORD201025"/>
    <d v="2025-05-17T00:00:00"/>
    <s v="C28406"/>
    <s v="Chair"/>
    <n v="1"/>
    <n v="23.53"/>
    <s v="174 Main St"/>
    <x v="3"/>
    <s v="Delivered"/>
    <s v="TRK98841457"/>
    <n v="2"/>
    <s v="FREESHIP"/>
    <x v="0"/>
    <n v="23.53"/>
  </r>
  <r>
    <s v="ORD201026"/>
    <d v="2023-05-01T00:00:00"/>
    <s v="C55454"/>
    <s v="Monitor"/>
    <n v="1"/>
    <n v="677.48"/>
    <s v="807 Main St"/>
    <x v="1"/>
    <s v="Delivered"/>
    <s v="TRK13281370"/>
    <n v="1"/>
    <s v="WINTER15"/>
    <x v="3"/>
    <n v="677.48"/>
  </r>
  <r>
    <s v="ORD201027"/>
    <d v="2024-05-21T00:00:00"/>
    <s v="C93467"/>
    <s v="Laptop"/>
    <n v="4"/>
    <n v="554.83000000000004"/>
    <s v="983 Main St"/>
    <x v="4"/>
    <s v="Returned"/>
    <s v="TRK77377373"/>
    <n v="6"/>
    <m/>
    <x v="4"/>
    <n v="2219.3200000000002"/>
  </r>
  <r>
    <s v="ORD201028"/>
    <d v="2023-02-17T00:00:00"/>
    <s v="C60042"/>
    <s v="Desk"/>
    <n v="4"/>
    <n v="440.31"/>
    <s v="610 Main St"/>
    <x v="4"/>
    <s v="Cancelled"/>
    <s v="TRK84651559"/>
    <n v="6"/>
    <m/>
    <x v="0"/>
    <n v="1761.24"/>
  </r>
  <r>
    <s v="ORD201029"/>
    <d v="2025-03-01T00:00:00"/>
    <s v="C44733"/>
    <s v="Desk"/>
    <n v="1"/>
    <n v="87.06"/>
    <s v="851 Main St"/>
    <x v="2"/>
    <s v="Shipped"/>
    <s v="TRK41500198"/>
    <n v="4"/>
    <s v="FREESHIP"/>
    <x v="2"/>
    <n v="87.06"/>
  </r>
  <r>
    <s v="ORD201030"/>
    <d v="2023-10-02T00:00:00"/>
    <s v="C61773"/>
    <s v="Phone"/>
    <n v="4"/>
    <n v="245.28"/>
    <s v="176 Main St"/>
    <x v="2"/>
    <s v="Delivered"/>
    <s v="TRK12936357"/>
    <n v="6"/>
    <s v="WINTER15"/>
    <x v="2"/>
    <n v="981.12"/>
  </r>
  <r>
    <s v="ORD201031"/>
    <d v="2023-02-28T00:00:00"/>
    <s v="C59183"/>
    <s v="Phone"/>
    <n v="5"/>
    <n v="664.51"/>
    <s v="136 Main St"/>
    <x v="0"/>
    <s v="Pending"/>
    <s v="TRK18129706"/>
    <n v="8"/>
    <s v="SAVE10"/>
    <x v="2"/>
    <n v="3322.55"/>
  </r>
  <r>
    <s v="ORD201032"/>
    <d v="2023-04-20T00:00:00"/>
    <s v="C26188"/>
    <s v="Chair"/>
    <n v="1"/>
    <n v="618.67999999999995"/>
    <s v="990 Main St"/>
    <x v="1"/>
    <s v="Delivered"/>
    <s v="TRK61634201"/>
    <n v="6"/>
    <s v="WINTER15"/>
    <x v="1"/>
    <n v="618.67999999999995"/>
  </r>
  <r>
    <s v="ORD201033"/>
    <d v="2024-12-24T00:00:00"/>
    <s v="C20338"/>
    <s v="Monitor"/>
    <n v="1"/>
    <n v="370.85"/>
    <s v="331 Main St"/>
    <x v="3"/>
    <s v="Delivered"/>
    <s v="TRK30654048"/>
    <n v="2"/>
    <s v="FREESHIP"/>
    <x v="1"/>
    <n v="370.85"/>
  </r>
  <r>
    <s v="ORD201034"/>
    <d v="2024-06-16T00:00:00"/>
    <s v="C84524"/>
    <s v="Printer"/>
    <n v="4"/>
    <n v="517.98"/>
    <s v="766 Main St"/>
    <x v="4"/>
    <s v="Cancelled"/>
    <s v="TRK76751888"/>
    <n v="8"/>
    <s v="FREESHIP"/>
    <x v="3"/>
    <n v="2071.92"/>
  </r>
  <r>
    <s v="ORD201035"/>
    <d v="2023-11-12T00:00:00"/>
    <s v="C70315"/>
    <s v="Laptop"/>
    <n v="4"/>
    <n v="506.11"/>
    <s v="911 Main St"/>
    <x v="4"/>
    <s v="Cancelled"/>
    <s v="TRK97732085"/>
    <n v="5"/>
    <m/>
    <x v="1"/>
    <n v="2024.44"/>
  </r>
  <r>
    <s v="ORD201036"/>
    <d v="2024-05-31T00:00:00"/>
    <s v="C98278"/>
    <s v="Phone"/>
    <n v="3"/>
    <n v="413.83"/>
    <s v="552 Main St"/>
    <x v="3"/>
    <s v="Shipped"/>
    <s v="TRK49684737"/>
    <n v="8"/>
    <s v="SAVE10"/>
    <x v="3"/>
    <n v="1241.49"/>
  </r>
  <r>
    <s v="ORD201037"/>
    <d v="2023-12-13T00:00:00"/>
    <s v="C32347"/>
    <s v="Printer"/>
    <n v="1"/>
    <n v="249.81"/>
    <s v="408 Main St"/>
    <x v="4"/>
    <s v="Pending"/>
    <s v="TRK54073964"/>
    <n v="1"/>
    <s v="SAVE10"/>
    <x v="4"/>
    <n v="249.81"/>
  </r>
  <r>
    <s v="ORD201038"/>
    <d v="2025-03-15T00:00:00"/>
    <s v="C77961"/>
    <s v="Tablet"/>
    <n v="3"/>
    <n v="362.53"/>
    <s v="422 Main St"/>
    <x v="0"/>
    <s v="Returned"/>
    <s v="TRK28969024"/>
    <n v="5"/>
    <m/>
    <x v="3"/>
    <n v="1087.5899999999999"/>
  </r>
  <r>
    <s v="ORD201039"/>
    <d v="2025-06-28T00:00:00"/>
    <s v="C49137"/>
    <s v="Desk"/>
    <n v="2"/>
    <n v="299.23"/>
    <s v="177 Main St"/>
    <x v="2"/>
    <s v="Cancelled"/>
    <s v="TRK79362428"/>
    <n v="2"/>
    <s v="WINTER15"/>
    <x v="0"/>
    <n v="598.46"/>
  </r>
  <r>
    <s v="ORD201040"/>
    <d v="2023-11-15T00:00:00"/>
    <s v="C13169"/>
    <s v="Tablet"/>
    <n v="1"/>
    <n v="536.07000000000005"/>
    <s v="932 Main St"/>
    <x v="0"/>
    <s v="Delivered"/>
    <s v="TRK66288666"/>
    <n v="5"/>
    <s v="FREESHIP"/>
    <x v="4"/>
    <n v="536.07000000000005"/>
  </r>
  <r>
    <s v="ORD201041"/>
    <d v="2023-02-11T00:00:00"/>
    <s v="C21167"/>
    <s v="Monitor"/>
    <n v="4"/>
    <n v="558.9"/>
    <s v="948 Main St"/>
    <x v="3"/>
    <s v="Shipped"/>
    <s v="TRK97737564"/>
    <n v="9"/>
    <s v="WINTER15"/>
    <x v="4"/>
    <n v="2235.6"/>
  </r>
  <r>
    <s v="ORD201042"/>
    <d v="2024-12-09T00:00:00"/>
    <s v="C59724"/>
    <s v="Tablet"/>
    <n v="2"/>
    <n v="409.75"/>
    <s v="414 Main St"/>
    <x v="0"/>
    <s v="Shipped"/>
    <s v="TRK67878272"/>
    <n v="2"/>
    <s v="WINTER15"/>
    <x v="3"/>
    <n v="819.5"/>
  </r>
  <r>
    <s v="ORD201043"/>
    <d v="2025-01-11T00:00:00"/>
    <s v="C43965"/>
    <s v="Tablet"/>
    <n v="2"/>
    <n v="179.96"/>
    <s v="675 Main St"/>
    <x v="3"/>
    <s v="Shipped"/>
    <s v="TRK94346739"/>
    <n v="5"/>
    <m/>
    <x v="0"/>
    <n v="359.92"/>
  </r>
  <r>
    <s v="ORD201044"/>
    <d v="2025-06-22T00:00:00"/>
    <s v="C63018"/>
    <s v="Printer"/>
    <n v="1"/>
    <n v="38.49"/>
    <s v="215 Main St"/>
    <x v="2"/>
    <s v="Delivered"/>
    <s v="TRK52335337"/>
    <n v="4"/>
    <s v="FREESHIP"/>
    <x v="1"/>
    <n v="38.49"/>
  </r>
  <r>
    <s v="ORD201045"/>
    <d v="2024-09-20T00:00:00"/>
    <s v="C11893"/>
    <s v="Laptop"/>
    <n v="5"/>
    <n v="316.39999999999998"/>
    <s v="671 Main St"/>
    <x v="3"/>
    <s v="Returned"/>
    <s v="TRK72012758"/>
    <n v="7"/>
    <m/>
    <x v="2"/>
    <n v="1582"/>
  </r>
  <r>
    <s v="ORD201046"/>
    <d v="2024-10-07T00:00:00"/>
    <s v="C85421"/>
    <s v="Tablet"/>
    <n v="3"/>
    <n v="547.15"/>
    <s v="466 Main St"/>
    <x v="1"/>
    <s v="Shipped"/>
    <s v="TRK16524006"/>
    <n v="4"/>
    <s v="WINTER15"/>
    <x v="0"/>
    <n v="1641.45"/>
  </r>
  <r>
    <s v="ORD201047"/>
    <d v="2023-06-23T00:00:00"/>
    <s v="C81726"/>
    <s v="Chair"/>
    <n v="4"/>
    <n v="540.34"/>
    <s v="394 Main St"/>
    <x v="3"/>
    <s v="Shipped"/>
    <s v="TRK69872994"/>
    <n v="6"/>
    <s v="WINTER15"/>
    <x v="1"/>
    <n v="2161.36"/>
  </r>
  <r>
    <s v="ORD201048"/>
    <d v="2024-09-09T00:00:00"/>
    <s v="C57601"/>
    <s v="Monitor"/>
    <n v="4"/>
    <n v="73.650000000000006"/>
    <s v="889 Main St"/>
    <x v="0"/>
    <s v="Shipped"/>
    <s v="TRK21153699"/>
    <n v="9"/>
    <m/>
    <x v="4"/>
    <n v="294.60000000000002"/>
  </r>
  <r>
    <s v="ORD201049"/>
    <d v="2024-07-18T00:00:00"/>
    <s v="C60575"/>
    <s v="Desk"/>
    <n v="5"/>
    <n v="391.86"/>
    <s v="587 Main St"/>
    <x v="2"/>
    <s v="Shipped"/>
    <s v="TRK44468232"/>
    <n v="6"/>
    <m/>
    <x v="0"/>
    <n v="1959.3"/>
  </r>
  <r>
    <s v="ORD201050"/>
    <d v="2023-08-20T00:00:00"/>
    <s v="C70659"/>
    <s v="Laptop"/>
    <n v="5"/>
    <n v="69.7"/>
    <s v="722 Main St"/>
    <x v="1"/>
    <s v="Returned"/>
    <s v="TRK49663597"/>
    <n v="9"/>
    <m/>
    <x v="0"/>
    <n v="348.5"/>
  </r>
  <r>
    <s v="ORD201051"/>
    <d v="2025-03-05T00:00:00"/>
    <s v="C35043"/>
    <s v="Monitor"/>
    <n v="5"/>
    <n v="26.43"/>
    <s v="820 Main St"/>
    <x v="3"/>
    <s v="Shipped"/>
    <s v="TRK65097450"/>
    <n v="5"/>
    <s v="FREESHIP"/>
    <x v="3"/>
    <n v="132.15"/>
  </r>
  <r>
    <s v="ORD201052"/>
    <d v="2023-09-11T00:00:00"/>
    <s v="C12301"/>
    <s v="Tablet"/>
    <n v="1"/>
    <n v="531.74"/>
    <s v="493 Main St"/>
    <x v="1"/>
    <s v="Shipped"/>
    <s v="TRK25145796"/>
    <n v="1"/>
    <s v="WINTER15"/>
    <x v="4"/>
    <n v="531.74"/>
  </r>
  <r>
    <s v="ORD201053"/>
    <d v="2024-09-15T00:00:00"/>
    <s v="C32798"/>
    <s v="Phone"/>
    <n v="2"/>
    <n v="496.62"/>
    <s v="679 Main St"/>
    <x v="1"/>
    <s v="Pending"/>
    <s v="TRK37375451"/>
    <n v="2"/>
    <s v="SAVE10"/>
    <x v="0"/>
    <n v="993.24"/>
  </r>
  <r>
    <s v="ORD201054"/>
    <d v="2023-11-29T00:00:00"/>
    <s v="C42949"/>
    <s v="Printer"/>
    <n v="1"/>
    <n v="660.66"/>
    <s v="447 Main St"/>
    <x v="0"/>
    <s v="Delivered"/>
    <s v="TRK46415143"/>
    <n v="3"/>
    <s v="WINTER15"/>
    <x v="0"/>
    <n v="660.66"/>
  </r>
  <r>
    <s v="ORD201055"/>
    <d v="2023-10-23T00:00:00"/>
    <s v="C10787"/>
    <s v="Monitor"/>
    <n v="4"/>
    <n v="274.82"/>
    <s v="932 Main St"/>
    <x v="0"/>
    <s v="Delivered"/>
    <s v="TRK91512567"/>
    <n v="9"/>
    <s v="WINTER15"/>
    <x v="2"/>
    <n v="1099.28"/>
  </r>
  <r>
    <s v="ORD201056"/>
    <d v="2024-06-14T00:00:00"/>
    <s v="C26152"/>
    <s v="Phone"/>
    <n v="2"/>
    <n v="486.35"/>
    <s v="790 Main St"/>
    <x v="1"/>
    <s v="Pending"/>
    <s v="TRK49382455"/>
    <n v="6"/>
    <s v="SAVE10"/>
    <x v="1"/>
    <n v="972.7"/>
  </r>
  <r>
    <s v="ORD201057"/>
    <d v="2024-09-24T00:00:00"/>
    <s v="C46210"/>
    <s v="Laptop"/>
    <n v="3"/>
    <n v="428.88"/>
    <s v="535 Main St"/>
    <x v="0"/>
    <s v="Shipped"/>
    <s v="TRK81611937"/>
    <n v="3"/>
    <s v="WINTER15"/>
    <x v="3"/>
    <n v="1286.6400000000001"/>
  </r>
  <r>
    <s v="ORD201058"/>
    <d v="2023-09-08T00:00:00"/>
    <s v="C32943"/>
    <s v="Desk"/>
    <n v="2"/>
    <n v="412.14"/>
    <s v="127 Main St"/>
    <x v="2"/>
    <s v="Returned"/>
    <s v="TRK26949106"/>
    <n v="2"/>
    <s v="FREESHIP"/>
    <x v="0"/>
    <n v="824.28"/>
  </r>
  <r>
    <s v="ORD201059"/>
    <d v="2024-09-22T00:00:00"/>
    <s v="C73629"/>
    <s v="Desk"/>
    <n v="1"/>
    <n v="265.64"/>
    <s v="601 Main St"/>
    <x v="2"/>
    <s v="Returned"/>
    <s v="TRK11492924"/>
    <n v="3"/>
    <s v="WINTER15"/>
    <x v="0"/>
    <n v="265.64"/>
  </r>
  <r>
    <s v="ORD201060"/>
    <d v="2024-05-07T00:00:00"/>
    <s v="C38024"/>
    <s v="Tablet"/>
    <n v="2"/>
    <n v="273.43"/>
    <s v="824 Main St"/>
    <x v="4"/>
    <s v="Shipped"/>
    <s v="TRK93370912"/>
    <n v="7"/>
    <s v="WINTER15"/>
    <x v="1"/>
    <n v="546.86"/>
  </r>
  <r>
    <s v="ORD201061"/>
    <d v="2025-01-29T00:00:00"/>
    <s v="C25445"/>
    <s v="Laptop"/>
    <n v="5"/>
    <n v="131.69999999999999"/>
    <s v="830 Main St"/>
    <x v="4"/>
    <s v="Shipped"/>
    <s v="TRK12402431"/>
    <n v="8"/>
    <s v="FREESHIP"/>
    <x v="4"/>
    <n v="658.5"/>
  </r>
  <r>
    <s v="ORD201062"/>
    <d v="2023-08-23T00:00:00"/>
    <s v="C13501"/>
    <s v="Chair"/>
    <n v="5"/>
    <n v="85.52"/>
    <s v="301 Main St"/>
    <x v="3"/>
    <s v="Cancelled"/>
    <s v="TRK65149372"/>
    <n v="5"/>
    <m/>
    <x v="3"/>
    <n v="427.6"/>
  </r>
  <r>
    <s v="ORD201063"/>
    <d v="2024-06-19T00:00:00"/>
    <s v="C42108"/>
    <s v="Desk"/>
    <n v="2"/>
    <n v="320.68"/>
    <s v="336 Main St"/>
    <x v="2"/>
    <s v="Shipped"/>
    <s v="TRK58407918"/>
    <n v="5"/>
    <s v="FREESHIP"/>
    <x v="1"/>
    <n v="641.36"/>
  </r>
  <r>
    <s v="ORD201064"/>
    <d v="2025-02-12T00:00:00"/>
    <s v="C32121"/>
    <s v="Laptop"/>
    <n v="4"/>
    <n v="198.81"/>
    <s v="654 Main St"/>
    <x v="4"/>
    <s v="Returned"/>
    <s v="TRK96074264"/>
    <n v="9"/>
    <s v="FREESHIP"/>
    <x v="1"/>
    <n v="795.24"/>
  </r>
  <r>
    <s v="ORD201065"/>
    <d v="2023-10-30T00:00:00"/>
    <s v="C47778"/>
    <s v="Printer"/>
    <n v="5"/>
    <n v="666.8"/>
    <s v="488 Main St"/>
    <x v="0"/>
    <s v="Delivered"/>
    <s v="TRK79504329"/>
    <n v="7"/>
    <s v="SAVE10"/>
    <x v="1"/>
    <n v="3334"/>
  </r>
  <r>
    <s v="ORD201066"/>
    <d v="2023-12-20T00:00:00"/>
    <s v="C10791"/>
    <s v="Desk"/>
    <n v="1"/>
    <n v="355.09"/>
    <s v="674 Main St"/>
    <x v="0"/>
    <s v="Cancelled"/>
    <s v="TRK20321248"/>
    <n v="5"/>
    <s v="SAVE10"/>
    <x v="0"/>
    <n v="355.09"/>
  </r>
  <r>
    <s v="ORD201067"/>
    <d v="2023-06-06T00:00:00"/>
    <s v="C78959"/>
    <s v="Phone"/>
    <n v="2"/>
    <n v="316.2"/>
    <s v="384 Main St"/>
    <x v="1"/>
    <s v="Returned"/>
    <s v="TRK37426359"/>
    <n v="2"/>
    <m/>
    <x v="0"/>
    <n v="632.4"/>
  </r>
  <r>
    <s v="ORD201068"/>
    <d v="2024-08-03T00:00:00"/>
    <s v="C29914"/>
    <s v="Laptop"/>
    <n v="1"/>
    <n v="133.38999999999999"/>
    <s v="469 Main St"/>
    <x v="0"/>
    <s v="Shipped"/>
    <s v="TRK22073506"/>
    <n v="2"/>
    <s v="SAVE10"/>
    <x v="1"/>
    <n v="133.38999999999999"/>
  </r>
  <r>
    <s v="ORD201069"/>
    <d v="2023-02-25T00:00:00"/>
    <s v="C70506"/>
    <s v="Monitor"/>
    <n v="1"/>
    <n v="454.23"/>
    <s v="255 Main St"/>
    <x v="3"/>
    <s v="Returned"/>
    <s v="TRK12518384"/>
    <n v="3"/>
    <m/>
    <x v="3"/>
    <n v="454.23"/>
  </r>
  <r>
    <s v="ORD201070"/>
    <d v="2024-09-06T00:00:00"/>
    <s v="C46873"/>
    <s v="Desk"/>
    <n v="4"/>
    <n v="491.29"/>
    <s v="496 Main St"/>
    <x v="0"/>
    <s v="Pending"/>
    <s v="TRK10926575"/>
    <n v="6"/>
    <m/>
    <x v="2"/>
    <n v="1965.16"/>
  </r>
  <r>
    <s v="ORD201071"/>
    <d v="2025-06-24T00:00:00"/>
    <s v="C94037"/>
    <s v="Phone"/>
    <n v="2"/>
    <n v="255.14"/>
    <s v="216 Main St"/>
    <x v="4"/>
    <s v="Shipped"/>
    <s v="TRK47536985"/>
    <n v="2"/>
    <m/>
    <x v="4"/>
    <n v="510.28"/>
  </r>
  <r>
    <s v="ORD201072"/>
    <d v="2023-02-26T00:00:00"/>
    <s v="C88644"/>
    <s v="Monitor"/>
    <n v="1"/>
    <n v="392.61"/>
    <s v="977 Main St"/>
    <x v="3"/>
    <s v="Cancelled"/>
    <s v="TRK14900878"/>
    <n v="4"/>
    <s v="SAVE10"/>
    <x v="1"/>
    <n v="392.61"/>
  </r>
  <r>
    <s v="ORD201073"/>
    <d v="2024-10-11T00:00:00"/>
    <s v="C69471"/>
    <s v="Tablet"/>
    <n v="4"/>
    <n v="362.06"/>
    <s v="294 Main St"/>
    <x v="0"/>
    <s v="Returned"/>
    <s v="TRK11107152"/>
    <n v="4"/>
    <m/>
    <x v="3"/>
    <n v="1448.24"/>
  </r>
  <r>
    <s v="ORD201074"/>
    <d v="2024-05-10T00:00:00"/>
    <s v="C21437"/>
    <s v="Phone"/>
    <n v="1"/>
    <n v="222.73"/>
    <s v="120 Main St"/>
    <x v="1"/>
    <s v="Returned"/>
    <s v="TRK81624772"/>
    <n v="4"/>
    <m/>
    <x v="4"/>
    <n v="222.73"/>
  </r>
  <r>
    <s v="ORD201075"/>
    <d v="2024-08-31T00:00:00"/>
    <s v="C40949"/>
    <s v="Monitor"/>
    <n v="2"/>
    <n v="552.63"/>
    <s v="609 Main St"/>
    <x v="0"/>
    <s v="Delivered"/>
    <s v="TRK43066749"/>
    <n v="7"/>
    <s v="WINTER15"/>
    <x v="0"/>
    <n v="1105.26"/>
  </r>
  <r>
    <s v="ORD201076"/>
    <d v="2023-05-08T00:00:00"/>
    <s v="C99116"/>
    <s v="Laptop"/>
    <n v="4"/>
    <n v="686.61"/>
    <s v="176 Main St"/>
    <x v="4"/>
    <s v="Shipped"/>
    <s v="TRK52711973"/>
    <n v="6"/>
    <m/>
    <x v="1"/>
    <n v="2746.44"/>
  </r>
  <r>
    <s v="ORD201077"/>
    <d v="2025-03-07T00:00:00"/>
    <s v="C57861"/>
    <s v="Printer"/>
    <n v="3"/>
    <n v="305.16000000000003"/>
    <s v="115 Main St"/>
    <x v="2"/>
    <s v="Cancelled"/>
    <s v="TRK47775217"/>
    <n v="8"/>
    <s v="SAVE10"/>
    <x v="1"/>
    <n v="915.48"/>
  </r>
  <r>
    <s v="ORD201078"/>
    <d v="2023-03-18T00:00:00"/>
    <s v="C62627"/>
    <s v="Desk"/>
    <n v="1"/>
    <n v="41.09"/>
    <s v="881 Main St"/>
    <x v="1"/>
    <s v="Returned"/>
    <s v="TRK90060232"/>
    <n v="4"/>
    <s v="WINTER15"/>
    <x v="2"/>
    <n v="41.09"/>
  </r>
  <r>
    <s v="ORD201079"/>
    <d v="2024-06-20T00:00:00"/>
    <s v="C89979"/>
    <s v="Phone"/>
    <n v="5"/>
    <n v="634"/>
    <s v="144 Main St"/>
    <x v="3"/>
    <s v="Delivered"/>
    <s v="TRK99055909"/>
    <n v="8"/>
    <m/>
    <x v="2"/>
    <n v="3170"/>
  </r>
  <r>
    <s v="ORD201080"/>
    <d v="2023-01-20T00:00:00"/>
    <s v="C70613"/>
    <s v="Laptop"/>
    <n v="5"/>
    <n v="464.74"/>
    <s v="438 Main St"/>
    <x v="3"/>
    <s v="Delivered"/>
    <s v="TRK33140293"/>
    <n v="7"/>
    <m/>
    <x v="1"/>
    <n v="2323.6999999999998"/>
  </r>
  <r>
    <s v="ORD201081"/>
    <d v="2023-04-21T00:00:00"/>
    <s v="C55636"/>
    <s v="Monitor"/>
    <n v="4"/>
    <n v="425.6"/>
    <s v="494 Main St"/>
    <x v="2"/>
    <s v="Pending"/>
    <s v="TRK85897054"/>
    <n v="5"/>
    <s v="FREESHIP"/>
    <x v="4"/>
    <n v="1702.4"/>
  </r>
  <r>
    <s v="ORD201082"/>
    <d v="2023-10-06T00:00:00"/>
    <s v="C96595"/>
    <s v="Chair"/>
    <n v="3"/>
    <n v="573.22"/>
    <s v="177 Main St"/>
    <x v="0"/>
    <s v="Pending"/>
    <s v="TRK59779174"/>
    <n v="5"/>
    <s v="SAVE10"/>
    <x v="2"/>
    <n v="1719.66"/>
  </r>
  <r>
    <s v="ORD201083"/>
    <d v="2024-07-09T00:00:00"/>
    <s v="C68508"/>
    <s v="Chair"/>
    <n v="1"/>
    <n v="123.28"/>
    <s v="895 Main St"/>
    <x v="2"/>
    <s v="Delivered"/>
    <s v="TRK98960285"/>
    <n v="3"/>
    <s v="SAVE10"/>
    <x v="2"/>
    <n v="123.28"/>
  </r>
  <r>
    <s v="ORD201084"/>
    <d v="2023-01-08T00:00:00"/>
    <s v="C45175"/>
    <s v="Phone"/>
    <n v="1"/>
    <n v="70.819999999999993"/>
    <s v="128 Main St"/>
    <x v="3"/>
    <s v="Pending"/>
    <s v="TRK41792296"/>
    <n v="1"/>
    <s v="WINTER15"/>
    <x v="0"/>
    <n v="70.819999999999993"/>
  </r>
  <r>
    <s v="ORD201085"/>
    <d v="2023-05-21T00:00:00"/>
    <s v="C28049"/>
    <s v="Printer"/>
    <n v="2"/>
    <n v="646.69000000000005"/>
    <s v="404 Main St"/>
    <x v="0"/>
    <s v="Shipped"/>
    <s v="TRK91426444"/>
    <n v="7"/>
    <s v="WINTER15"/>
    <x v="0"/>
    <n v="1293.3800000000001"/>
  </r>
  <r>
    <s v="ORD201086"/>
    <d v="2023-12-23T00:00:00"/>
    <s v="C46967"/>
    <s v="Tablet"/>
    <n v="2"/>
    <n v="513.41999999999996"/>
    <s v="401 Main St"/>
    <x v="1"/>
    <s v="Pending"/>
    <s v="TRK91439791"/>
    <n v="5"/>
    <s v="WINTER15"/>
    <x v="0"/>
    <n v="1026.8399999999999"/>
  </r>
  <r>
    <s v="ORD201087"/>
    <d v="2025-03-23T00:00:00"/>
    <s v="C84134"/>
    <s v="Laptop"/>
    <n v="4"/>
    <n v="693.07"/>
    <s v="530 Main St"/>
    <x v="1"/>
    <s v="Shipped"/>
    <s v="TRK48659380"/>
    <n v="8"/>
    <s v="SAVE10"/>
    <x v="0"/>
    <n v="2772.28"/>
  </r>
  <r>
    <s v="ORD201088"/>
    <d v="2023-11-30T00:00:00"/>
    <s v="C49831"/>
    <s v="Desk"/>
    <n v="3"/>
    <n v="491.43"/>
    <s v="213 Main St"/>
    <x v="3"/>
    <s v="Shipped"/>
    <s v="TRK21232601"/>
    <n v="6"/>
    <s v="WINTER15"/>
    <x v="0"/>
    <n v="1474.29"/>
  </r>
  <r>
    <s v="ORD201089"/>
    <d v="2025-03-15T00:00:00"/>
    <s v="C13324"/>
    <s v="Tablet"/>
    <n v="2"/>
    <n v="599.74"/>
    <s v="440 Main St"/>
    <x v="3"/>
    <s v="Shipped"/>
    <s v="TRK66967997"/>
    <n v="2"/>
    <m/>
    <x v="0"/>
    <n v="1199.48"/>
  </r>
  <r>
    <s v="ORD201090"/>
    <d v="2023-02-25T00:00:00"/>
    <s v="C61225"/>
    <s v="Monitor"/>
    <n v="2"/>
    <n v="650.25"/>
    <s v="996 Main St"/>
    <x v="3"/>
    <s v="Returned"/>
    <s v="TRK37022954"/>
    <n v="6"/>
    <m/>
    <x v="0"/>
    <n v="1300.5"/>
  </r>
  <r>
    <s v="ORD201091"/>
    <d v="2024-10-08T00:00:00"/>
    <s v="C16400"/>
    <s v="Laptop"/>
    <n v="3"/>
    <n v="209.48"/>
    <s v="123 Main St"/>
    <x v="0"/>
    <s v="Pending"/>
    <s v="TRK57771859"/>
    <n v="4"/>
    <m/>
    <x v="2"/>
    <n v="628.43999999999994"/>
  </r>
  <r>
    <s v="ORD201092"/>
    <d v="2023-08-21T00:00:00"/>
    <s v="C38642"/>
    <s v="Laptop"/>
    <n v="5"/>
    <n v="209.2"/>
    <s v="930 Main St"/>
    <x v="0"/>
    <s v="Delivered"/>
    <s v="TRK47744396"/>
    <n v="6"/>
    <s v="WINTER15"/>
    <x v="2"/>
    <n v="1046"/>
  </r>
  <r>
    <s v="ORD201093"/>
    <d v="2023-06-09T00:00:00"/>
    <s v="C86773"/>
    <s v="Phone"/>
    <n v="4"/>
    <n v="197.36"/>
    <s v="557 Main St"/>
    <x v="3"/>
    <s v="Returned"/>
    <s v="TRK22612240"/>
    <n v="9"/>
    <s v="FREESHIP"/>
    <x v="0"/>
    <n v="789.44"/>
  </r>
  <r>
    <s v="ORD201094"/>
    <d v="2023-06-28T00:00:00"/>
    <s v="C66093"/>
    <s v="Printer"/>
    <n v="4"/>
    <n v="648.91"/>
    <s v="615 Main St"/>
    <x v="2"/>
    <s v="Shipped"/>
    <s v="TRK54950785"/>
    <n v="6"/>
    <s v="SAVE10"/>
    <x v="0"/>
    <n v="2595.64"/>
  </r>
  <r>
    <s v="ORD201095"/>
    <d v="2024-04-23T00:00:00"/>
    <s v="C33051"/>
    <s v="Phone"/>
    <n v="2"/>
    <n v="441.54"/>
    <s v="397 Main St"/>
    <x v="1"/>
    <s v="Delivered"/>
    <s v="TRK92929755"/>
    <n v="2"/>
    <s v="SAVE10"/>
    <x v="2"/>
    <n v="883.08"/>
  </r>
  <r>
    <s v="ORD201096"/>
    <d v="2025-05-03T00:00:00"/>
    <s v="C18169"/>
    <s v="Tablet"/>
    <n v="2"/>
    <n v="464.92"/>
    <s v="782 Main St"/>
    <x v="0"/>
    <s v="Returned"/>
    <s v="TRK49482923"/>
    <n v="2"/>
    <m/>
    <x v="3"/>
    <n v="929.84"/>
  </r>
  <r>
    <s v="ORD201097"/>
    <d v="2024-12-26T00:00:00"/>
    <s v="C81370"/>
    <s v="Monitor"/>
    <n v="5"/>
    <n v="506.45"/>
    <s v="344 Main St"/>
    <x v="3"/>
    <s v="Shipped"/>
    <s v="TRK99682998"/>
    <n v="7"/>
    <s v="WINTER15"/>
    <x v="4"/>
    <n v="2532.25"/>
  </r>
  <r>
    <s v="ORD201098"/>
    <d v="2023-06-17T00:00:00"/>
    <s v="C91103"/>
    <s v="Monitor"/>
    <n v="4"/>
    <n v="255.86"/>
    <s v="155 Main St"/>
    <x v="2"/>
    <s v="Delivered"/>
    <s v="TRK91653000"/>
    <n v="7"/>
    <m/>
    <x v="2"/>
    <n v="1023.44"/>
  </r>
  <r>
    <s v="ORD201099"/>
    <d v="2024-09-19T00:00:00"/>
    <s v="C21953"/>
    <s v="Laptop"/>
    <n v="2"/>
    <n v="125.23"/>
    <s v="272 Main St"/>
    <x v="4"/>
    <s v="Cancelled"/>
    <s v="TRK60774796"/>
    <n v="3"/>
    <s v="FREESHIP"/>
    <x v="2"/>
    <n v="250.46"/>
  </r>
  <r>
    <s v="ORD201100"/>
    <d v="2023-08-17T00:00:00"/>
    <s v="C15146"/>
    <s v="Laptop"/>
    <n v="5"/>
    <n v="38.11"/>
    <s v="428 Main St"/>
    <x v="0"/>
    <s v="Cancelled"/>
    <s v="TRK79790530"/>
    <n v="6"/>
    <s v="WINTER15"/>
    <x v="0"/>
    <n v="190.55"/>
  </r>
  <r>
    <s v="ORD201101"/>
    <d v="2025-06-08T00:00:00"/>
    <s v="C43546"/>
    <s v="Monitor"/>
    <n v="3"/>
    <n v="161.97"/>
    <s v="904 Main St"/>
    <x v="4"/>
    <s v="Pending"/>
    <s v="TRK85871121"/>
    <n v="4"/>
    <s v="SAVE10"/>
    <x v="2"/>
    <n v="485.91"/>
  </r>
  <r>
    <s v="ORD201102"/>
    <d v="2024-06-03T00:00:00"/>
    <s v="C98474"/>
    <s v="Chair"/>
    <n v="4"/>
    <n v="347.17"/>
    <s v="997 Main St"/>
    <x v="0"/>
    <s v="Shipped"/>
    <s v="TRK86192984"/>
    <n v="8"/>
    <m/>
    <x v="0"/>
    <n v="1388.68"/>
  </r>
  <r>
    <s v="ORD201103"/>
    <d v="2023-04-24T00:00:00"/>
    <s v="C90292"/>
    <s v="Laptop"/>
    <n v="4"/>
    <n v="276.32"/>
    <s v="129 Main St"/>
    <x v="1"/>
    <s v="Delivered"/>
    <s v="TRK26270357"/>
    <n v="5"/>
    <m/>
    <x v="4"/>
    <n v="1105.28"/>
  </r>
  <r>
    <s v="ORD201104"/>
    <d v="2024-07-25T00:00:00"/>
    <s v="C17075"/>
    <s v="Tablet"/>
    <n v="4"/>
    <n v="314.76"/>
    <s v="850 Main St"/>
    <x v="1"/>
    <s v="Shipped"/>
    <s v="TRK63547510"/>
    <n v="8"/>
    <m/>
    <x v="0"/>
    <n v="1259.04"/>
  </r>
  <r>
    <s v="ORD201105"/>
    <d v="2024-01-08T00:00:00"/>
    <s v="C12487"/>
    <s v="Tablet"/>
    <n v="3"/>
    <n v="475.69"/>
    <s v="884 Main St"/>
    <x v="3"/>
    <s v="Cancelled"/>
    <s v="TRK23324770"/>
    <n v="3"/>
    <s v="FREESHIP"/>
    <x v="4"/>
    <n v="1427.07"/>
  </r>
  <r>
    <s v="ORD201106"/>
    <d v="2023-03-12T00:00:00"/>
    <s v="C34555"/>
    <s v="Chair"/>
    <n v="1"/>
    <n v="372.8"/>
    <s v="903 Main St"/>
    <x v="4"/>
    <s v="Cancelled"/>
    <s v="TRK72859458"/>
    <n v="6"/>
    <s v="SAVE10"/>
    <x v="3"/>
    <n v="372.8"/>
  </r>
  <r>
    <s v="ORD201107"/>
    <d v="2025-06-30T00:00:00"/>
    <s v="C25110"/>
    <s v="Tablet"/>
    <n v="2"/>
    <n v="63.21"/>
    <s v="282 Main St"/>
    <x v="1"/>
    <s v="Cancelled"/>
    <s v="TRK80963328"/>
    <n v="4"/>
    <s v="SAVE10"/>
    <x v="4"/>
    <n v="126.42"/>
  </r>
  <r>
    <s v="ORD201108"/>
    <d v="2023-03-20T00:00:00"/>
    <s v="C35136"/>
    <s v="Laptop"/>
    <n v="1"/>
    <n v="634.94000000000005"/>
    <s v="462 Main St"/>
    <x v="1"/>
    <s v="Cancelled"/>
    <s v="TRK49753703"/>
    <n v="5"/>
    <s v="WINTER15"/>
    <x v="0"/>
    <n v="634.94000000000005"/>
  </r>
  <r>
    <s v="ORD201109"/>
    <d v="2024-04-08T00:00:00"/>
    <s v="C62277"/>
    <s v="Printer"/>
    <n v="4"/>
    <n v="77.47"/>
    <s v="474 Main St"/>
    <x v="3"/>
    <s v="Returned"/>
    <s v="TRK32026174"/>
    <n v="7"/>
    <s v="SAVE10"/>
    <x v="0"/>
    <n v="309.88"/>
  </r>
  <r>
    <s v="ORD201110"/>
    <d v="2024-02-25T00:00:00"/>
    <s v="C12472"/>
    <s v="Chair"/>
    <n v="3"/>
    <n v="84.31"/>
    <s v="912 Main St"/>
    <x v="2"/>
    <s v="Shipped"/>
    <s v="TRK36103184"/>
    <n v="3"/>
    <s v="SAVE10"/>
    <x v="2"/>
    <n v="252.93"/>
  </r>
  <r>
    <s v="ORD201111"/>
    <d v="2023-05-06T00:00:00"/>
    <s v="C24047"/>
    <s v="Monitor"/>
    <n v="4"/>
    <n v="234.45"/>
    <s v="362 Main St"/>
    <x v="1"/>
    <s v="Cancelled"/>
    <s v="TRK91338580"/>
    <n v="9"/>
    <s v="FREESHIP"/>
    <x v="0"/>
    <n v="937.8"/>
  </r>
  <r>
    <s v="ORD201112"/>
    <d v="2023-10-13T00:00:00"/>
    <s v="C76929"/>
    <s v="Desk"/>
    <n v="1"/>
    <n v="356.81"/>
    <s v="563 Main St"/>
    <x v="1"/>
    <s v="Delivered"/>
    <s v="TRK80694400"/>
    <n v="1"/>
    <s v="WINTER15"/>
    <x v="0"/>
    <n v="356.81"/>
  </r>
  <r>
    <s v="ORD201113"/>
    <d v="2023-03-19T00:00:00"/>
    <s v="C52914"/>
    <s v="Desk"/>
    <n v="4"/>
    <n v="209.99"/>
    <s v="168 Main St"/>
    <x v="4"/>
    <s v="Delivered"/>
    <s v="TRK80819053"/>
    <n v="8"/>
    <m/>
    <x v="4"/>
    <n v="839.96"/>
  </r>
  <r>
    <s v="ORD201114"/>
    <d v="2023-03-16T00:00:00"/>
    <s v="C55164"/>
    <s v="Tablet"/>
    <n v="3"/>
    <n v="659.88"/>
    <s v="609 Main St"/>
    <x v="3"/>
    <s v="Cancelled"/>
    <s v="TRK79610967"/>
    <n v="3"/>
    <m/>
    <x v="4"/>
    <n v="1979.64"/>
  </r>
  <r>
    <s v="ORD201115"/>
    <d v="2025-06-20T00:00:00"/>
    <s v="C70426"/>
    <s v="Laptop"/>
    <n v="2"/>
    <n v="336.32"/>
    <s v="562 Main St"/>
    <x v="1"/>
    <s v="Returned"/>
    <s v="TRK89687816"/>
    <n v="3"/>
    <m/>
    <x v="4"/>
    <n v="672.64"/>
  </r>
  <r>
    <s v="ORD201116"/>
    <d v="2023-10-14T00:00:00"/>
    <s v="C69149"/>
    <s v="Printer"/>
    <n v="2"/>
    <n v="531.49"/>
    <s v="562 Main St"/>
    <x v="2"/>
    <s v="Delivered"/>
    <s v="TRK61265132"/>
    <n v="7"/>
    <s v="WINTER15"/>
    <x v="3"/>
    <n v="1062.98"/>
  </r>
  <r>
    <s v="ORD201117"/>
    <d v="2024-05-20T00:00:00"/>
    <s v="C78684"/>
    <s v="Chair"/>
    <n v="3"/>
    <n v="588.44000000000005"/>
    <s v="858 Main St"/>
    <x v="3"/>
    <s v="Shipped"/>
    <s v="TRK95779073"/>
    <n v="8"/>
    <s v="WINTER15"/>
    <x v="4"/>
    <n v="1765.32"/>
  </r>
  <r>
    <s v="ORD201118"/>
    <d v="2024-05-24T00:00:00"/>
    <s v="C58168"/>
    <s v="Phone"/>
    <n v="3"/>
    <n v="251.48"/>
    <s v="359 Main St"/>
    <x v="2"/>
    <s v="Returned"/>
    <s v="TRK99102265"/>
    <n v="4"/>
    <m/>
    <x v="2"/>
    <n v="754.43999999999994"/>
  </r>
  <r>
    <s v="ORD201119"/>
    <d v="2024-11-24T00:00:00"/>
    <s v="C99024"/>
    <s v="Laptop"/>
    <n v="1"/>
    <n v="684.65"/>
    <s v="250 Main St"/>
    <x v="2"/>
    <s v="Delivered"/>
    <s v="TRK24675988"/>
    <n v="1"/>
    <s v="FREESHIP"/>
    <x v="2"/>
    <n v="684.65"/>
  </r>
  <r>
    <s v="ORD201120"/>
    <d v="2025-05-10T00:00:00"/>
    <s v="C22919"/>
    <s v="Tablet"/>
    <n v="1"/>
    <n v="195.86"/>
    <s v="267 Main St"/>
    <x v="1"/>
    <s v="Pending"/>
    <s v="TRK82416295"/>
    <n v="3"/>
    <m/>
    <x v="3"/>
    <n v="195.86"/>
  </r>
  <r>
    <s v="ORD201121"/>
    <d v="2023-05-28T00:00:00"/>
    <s v="C98354"/>
    <s v="Phone"/>
    <n v="3"/>
    <n v="50.34"/>
    <s v="393 Main St"/>
    <x v="3"/>
    <s v="Returned"/>
    <s v="TRK43070888"/>
    <n v="3"/>
    <s v="FREESHIP"/>
    <x v="0"/>
    <n v="151.02000000000001"/>
  </r>
  <r>
    <s v="ORD201122"/>
    <d v="2023-06-07T00:00:00"/>
    <s v="C38840"/>
    <s v="Monitor"/>
    <n v="5"/>
    <n v="678.19"/>
    <s v="766 Main St"/>
    <x v="1"/>
    <s v="Returned"/>
    <s v="TRK32496970"/>
    <n v="8"/>
    <m/>
    <x v="3"/>
    <n v="3390.95"/>
  </r>
  <r>
    <s v="ORD201123"/>
    <d v="2023-04-14T00:00:00"/>
    <s v="C68936"/>
    <s v="Tablet"/>
    <n v="3"/>
    <n v="554.25"/>
    <s v="843 Main St"/>
    <x v="0"/>
    <s v="Shipped"/>
    <s v="TRK73163634"/>
    <n v="6"/>
    <s v="WINTER15"/>
    <x v="1"/>
    <n v="1662.75"/>
  </r>
  <r>
    <s v="ORD201124"/>
    <d v="2023-05-09T00:00:00"/>
    <s v="C33744"/>
    <s v="Chair"/>
    <n v="4"/>
    <n v="576.87"/>
    <s v="888 Main St"/>
    <x v="3"/>
    <s v="Returned"/>
    <s v="TRK40245983"/>
    <n v="5"/>
    <m/>
    <x v="0"/>
    <n v="2307.48"/>
  </r>
  <r>
    <s v="ORD201125"/>
    <d v="2023-10-16T00:00:00"/>
    <s v="C23555"/>
    <s v="Desk"/>
    <n v="4"/>
    <n v="408.36"/>
    <s v="156 Main St"/>
    <x v="3"/>
    <s v="Cancelled"/>
    <s v="TRK67210247"/>
    <n v="4"/>
    <s v="FREESHIP"/>
    <x v="1"/>
    <n v="1633.44"/>
  </r>
  <r>
    <s v="ORD201126"/>
    <d v="2024-07-22T00:00:00"/>
    <s v="C34337"/>
    <s v="Phone"/>
    <n v="5"/>
    <n v="190.11"/>
    <s v="325 Main St"/>
    <x v="4"/>
    <s v="Delivered"/>
    <s v="TRK36195559"/>
    <n v="7"/>
    <s v="SAVE10"/>
    <x v="4"/>
    <n v="950.55000000000007"/>
  </r>
  <r>
    <s v="ORD201127"/>
    <d v="2025-03-15T00:00:00"/>
    <s v="C69396"/>
    <s v="Printer"/>
    <n v="3"/>
    <n v="602.75"/>
    <s v="920 Main St"/>
    <x v="2"/>
    <s v="Shipped"/>
    <s v="TRK33155049"/>
    <n v="6"/>
    <s v="SAVE10"/>
    <x v="2"/>
    <n v="1808.25"/>
  </r>
  <r>
    <s v="ORD201128"/>
    <d v="2023-08-17T00:00:00"/>
    <s v="C49198"/>
    <s v="Monitor"/>
    <n v="3"/>
    <n v="646.79"/>
    <s v="447 Main St"/>
    <x v="4"/>
    <s v="Cancelled"/>
    <s v="TRK10883354"/>
    <n v="5"/>
    <s v="WINTER15"/>
    <x v="4"/>
    <n v="1940.37"/>
  </r>
  <r>
    <s v="ORD201129"/>
    <d v="2023-06-11T00:00:00"/>
    <s v="C43911"/>
    <s v="Chair"/>
    <n v="4"/>
    <n v="418.71"/>
    <s v="239 Main St"/>
    <x v="4"/>
    <s v="Pending"/>
    <s v="TRK37495481"/>
    <n v="8"/>
    <s v="FREESHIP"/>
    <x v="0"/>
    <n v="1674.84"/>
  </r>
  <r>
    <s v="ORD201130"/>
    <d v="2025-02-16T00:00:00"/>
    <s v="C24347"/>
    <s v="Laptop"/>
    <n v="2"/>
    <n v="323.45"/>
    <s v="533 Main St"/>
    <x v="2"/>
    <s v="Returned"/>
    <s v="TRK27233265"/>
    <n v="5"/>
    <s v="FREESHIP"/>
    <x v="0"/>
    <n v="646.9"/>
  </r>
  <r>
    <s v="ORD201131"/>
    <d v="2024-07-18T00:00:00"/>
    <s v="C21043"/>
    <s v="Phone"/>
    <n v="1"/>
    <n v="694.5"/>
    <s v="195 Main St"/>
    <x v="2"/>
    <s v="Pending"/>
    <s v="TRK41691086"/>
    <n v="3"/>
    <s v="WINTER15"/>
    <x v="3"/>
    <n v="694.5"/>
  </r>
  <r>
    <s v="ORD201132"/>
    <d v="2024-12-02T00:00:00"/>
    <s v="C58858"/>
    <s v="Chair"/>
    <n v="2"/>
    <n v="337.32"/>
    <s v="948 Main St"/>
    <x v="2"/>
    <s v="Cancelled"/>
    <s v="TRK30406357"/>
    <n v="4"/>
    <s v="SAVE10"/>
    <x v="2"/>
    <n v="674.64"/>
  </r>
  <r>
    <s v="ORD201133"/>
    <d v="2024-04-09T00:00:00"/>
    <s v="C20670"/>
    <s v="Printer"/>
    <n v="2"/>
    <n v="467.91"/>
    <s v="432 Main St"/>
    <x v="3"/>
    <s v="Returned"/>
    <s v="TRK76731303"/>
    <n v="5"/>
    <s v="WINTER15"/>
    <x v="3"/>
    <n v="935.82"/>
  </r>
  <r>
    <s v="ORD201134"/>
    <d v="2024-06-08T00:00:00"/>
    <s v="C90993"/>
    <s v="Desk"/>
    <n v="4"/>
    <n v="38.28"/>
    <s v="950 Main St"/>
    <x v="0"/>
    <s v="Cancelled"/>
    <s v="TRK53964711"/>
    <n v="4"/>
    <s v="WINTER15"/>
    <x v="3"/>
    <n v="153.12"/>
  </r>
  <r>
    <s v="ORD201135"/>
    <d v="2023-12-28T00:00:00"/>
    <s v="C11473"/>
    <s v="Printer"/>
    <n v="2"/>
    <n v="73.41"/>
    <s v="562 Main St"/>
    <x v="1"/>
    <s v="Shipped"/>
    <s v="TRK97793275"/>
    <n v="2"/>
    <s v="SAVE10"/>
    <x v="4"/>
    <n v="146.82"/>
  </r>
  <r>
    <s v="ORD201136"/>
    <d v="2023-09-24T00:00:00"/>
    <s v="C71899"/>
    <s v="Tablet"/>
    <n v="3"/>
    <n v="668.33"/>
    <s v="799 Main St"/>
    <x v="3"/>
    <s v="Pending"/>
    <s v="TRK34856025"/>
    <n v="4"/>
    <s v="WINTER15"/>
    <x v="3"/>
    <n v="2004.99"/>
  </r>
  <r>
    <s v="ORD201137"/>
    <d v="2024-07-29T00:00:00"/>
    <s v="C48577"/>
    <s v="Printer"/>
    <n v="4"/>
    <n v="410.21"/>
    <s v="841 Main St"/>
    <x v="4"/>
    <s v="Pending"/>
    <s v="TRK59911645"/>
    <n v="5"/>
    <s v="WINTER15"/>
    <x v="0"/>
    <n v="1640.84"/>
  </r>
  <r>
    <s v="ORD201138"/>
    <d v="2023-12-18T00:00:00"/>
    <s v="C13100"/>
    <s v="Desk"/>
    <n v="4"/>
    <n v="294.41000000000003"/>
    <s v="188 Main St"/>
    <x v="0"/>
    <s v="Pending"/>
    <s v="TRK55565668"/>
    <n v="4"/>
    <m/>
    <x v="0"/>
    <n v="1177.6400000000001"/>
  </r>
  <r>
    <s v="ORD201139"/>
    <d v="2025-03-01T00:00:00"/>
    <s v="C70659"/>
    <s v="Chair"/>
    <n v="3"/>
    <n v="501.82"/>
    <s v="568 Main St"/>
    <x v="3"/>
    <s v="Cancelled"/>
    <s v="TRK28290825"/>
    <n v="4"/>
    <s v="FREESHIP"/>
    <x v="2"/>
    <n v="1505.46"/>
  </r>
  <r>
    <s v="ORD201140"/>
    <d v="2024-06-24T00:00:00"/>
    <s v="C49838"/>
    <s v="Printer"/>
    <n v="2"/>
    <n v="552.83000000000004"/>
    <s v="904 Main St"/>
    <x v="2"/>
    <s v="Cancelled"/>
    <s v="TRK38297718"/>
    <n v="3"/>
    <m/>
    <x v="1"/>
    <n v="1105.6600000000001"/>
  </r>
  <r>
    <s v="ORD201141"/>
    <d v="2025-02-16T00:00:00"/>
    <s v="C11998"/>
    <s v="Chair"/>
    <n v="3"/>
    <n v="498.66"/>
    <s v="382 Main St"/>
    <x v="4"/>
    <s v="Cancelled"/>
    <s v="TRK26707221"/>
    <n v="6"/>
    <m/>
    <x v="2"/>
    <n v="1495.98"/>
  </r>
  <r>
    <s v="ORD201142"/>
    <d v="2024-08-23T00:00:00"/>
    <s v="C23405"/>
    <s v="Phone"/>
    <n v="4"/>
    <n v="695.1"/>
    <s v="484 Main St"/>
    <x v="0"/>
    <s v="Returned"/>
    <s v="TRK83678708"/>
    <n v="8"/>
    <m/>
    <x v="2"/>
    <n v="2780.4"/>
  </r>
  <r>
    <s v="ORD201143"/>
    <d v="2023-04-03T00:00:00"/>
    <s v="C41132"/>
    <s v="Chair"/>
    <n v="1"/>
    <n v="381.61"/>
    <s v="114 Main St"/>
    <x v="0"/>
    <s v="Pending"/>
    <s v="TRK51040137"/>
    <n v="5"/>
    <m/>
    <x v="2"/>
    <n v="381.61"/>
  </r>
  <r>
    <s v="ORD201144"/>
    <d v="2023-02-16T00:00:00"/>
    <s v="C88463"/>
    <s v="Desk"/>
    <n v="5"/>
    <n v="507.94"/>
    <s v="292 Main St"/>
    <x v="1"/>
    <s v="Cancelled"/>
    <s v="TRK88749996"/>
    <n v="9"/>
    <m/>
    <x v="3"/>
    <n v="2539.6999999999998"/>
  </r>
  <r>
    <s v="ORD201145"/>
    <d v="2025-05-12T00:00:00"/>
    <s v="C28152"/>
    <s v="Desk"/>
    <n v="3"/>
    <n v="571.53"/>
    <s v="821 Main St"/>
    <x v="0"/>
    <s v="Delivered"/>
    <s v="TRK59642814"/>
    <n v="6"/>
    <s v="FREESHIP"/>
    <x v="3"/>
    <n v="1714.59"/>
  </r>
  <r>
    <s v="ORD201146"/>
    <d v="2024-10-03T00:00:00"/>
    <s v="C36383"/>
    <s v="Monitor"/>
    <n v="5"/>
    <n v="421.44"/>
    <s v="286 Main St"/>
    <x v="4"/>
    <s v="Pending"/>
    <s v="TRK93336357"/>
    <n v="5"/>
    <s v="SAVE10"/>
    <x v="0"/>
    <n v="2107.1999999999998"/>
  </r>
  <r>
    <s v="ORD201147"/>
    <d v="2025-01-02T00:00:00"/>
    <s v="C19759"/>
    <s v="Chair"/>
    <n v="2"/>
    <n v="588.29999999999995"/>
    <s v="234 Main St"/>
    <x v="1"/>
    <s v="Pending"/>
    <s v="TRK22515454"/>
    <n v="2"/>
    <s v="FREESHIP"/>
    <x v="2"/>
    <n v="1176.5999999999999"/>
  </r>
  <r>
    <s v="ORD201148"/>
    <d v="2024-06-25T00:00:00"/>
    <s v="C54886"/>
    <s v="Phone"/>
    <n v="1"/>
    <n v="355.15"/>
    <s v="442 Main St"/>
    <x v="4"/>
    <s v="Returned"/>
    <s v="TRK66241930"/>
    <n v="2"/>
    <s v="SAVE10"/>
    <x v="2"/>
    <n v="355.15"/>
  </r>
  <r>
    <s v="ORD201149"/>
    <d v="2024-07-25T00:00:00"/>
    <s v="C27305"/>
    <s v="Chair"/>
    <n v="2"/>
    <n v="695.29"/>
    <s v="957 Main St"/>
    <x v="2"/>
    <s v="Pending"/>
    <s v="TRK28789916"/>
    <n v="6"/>
    <s v="FREESHIP"/>
    <x v="0"/>
    <n v="1390.58"/>
  </r>
  <r>
    <s v="ORD201150"/>
    <d v="2023-02-20T00:00:00"/>
    <s v="C17921"/>
    <s v="Desk"/>
    <n v="4"/>
    <n v="302.64999999999998"/>
    <s v="119 Main St"/>
    <x v="2"/>
    <s v="Cancelled"/>
    <s v="TRK79291524"/>
    <n v="8"/>
    <s v="SAVE10"/>
    <x v="1"/>
    <n v="1210.5999999999999"/>
  </r>
  <r>
    <s v="ORD201151"/>
    <d v="2023-01-29T00:00:00"/>
    <s v="C94381"/>
    <s v="Chair"/>
    <n v="2"/>
    <n v="608.04"/>
    <s v="962 Main St"/>
    <x v="4"/>
    <s v="Cancelled"/>
    <s v="TRK69804304"/>
    <n v="4"/>
    <m/>
    <x v="4"/>
    <n v="1216.08"/>
  </r>
  <r>
    <s v="ORD201152"/>
    <d v="2023-11-09T00:00:00"/>
    <s v="C25162"/>
    <s v="Tablet"/>
    <n v="2"/>
    <n v="344.18"/>
    <s v="533 Main St"/>
    <x v="2"/>
    <s v="Shipped"/>
    <s v="TRK42183078"/>
    <n v="7"/>
    <m/>
    <x v="1"/>
    <n v="688.36"/>
  </r>
  <r>
    <s v="ORD201153"/>
    <d v="2024-12-16T00:00:00"/>
    <s v="C98317"/>
    <s v="Monitor"/>
    <n v="4"/>
    <n v="696.71"/>
    <s v="276 Main St"/>
    <x v="0"/>
    <s v="Shipped"/>
    <s v="TRK37172138"/>
    <n v="4"/>
    <m/>
    <x v="0"/>
    <n v="2786.84"/>
  </r>
  <r>
    <s v="ORD201154"/>
    <d v="2025-06-11T00:00:00"/>
    <s v="C53631"/>
    <s v="Monitor"/>
    <n v="3"/>
    <n v="198.63"/>
    <s v="593 Main St"/>
    <x v="4"/>
    <s v="Pending"/>
    <s v="TRK67589167"/>
    <n v="8"/>
    <s v="SAVE10"/>
    <x v="0"/>
    <n v="595.89"/>
  </r>
  <r>
    <s v="ORD201155"/>
    <d v="2023-08-13T00:00:00"/>
    <s v="C41478"/>
    <s v="Printer"/>
    <n v="4"/>
    <n v="534.57000000000005"/>
    <s v="667 Main St"/>
    <x v="2"/>
    <s v="Delivered"/>
    <s v="TRK62068126"/>
    <n v="6"/>
    <s v="FREESHIP"/>
    <x v="3"/>
    <n v="2138.2800000000002"/>
  </r>
  <r>
    <s v="ORD201156"/>
    <d v="2023-07-19T00:00:00"/>
    <s v="C20512"/>
    <s v="Laptop"/>
    <n v="4"/>
    <n v="690.78"/>
    <s v="980 Main St"/>
    <x v="2"/>
    <s v="Shipped"/>
    <s v="TRK98234737"/>
    <n v="9"/>
    <m/>
    <x v="1"/>
    <n v="2763.12"/>
  </r>
  <r>
    <s v="ORD201157"/>
    <d v="2024-05-29T00:00:00"/>
    <s v="C25841"/>
    <s v="Monitor"/>
    <n v="3"/>
    <n v="301.55"/>
    <s v="242 Main St"/>
    <x v="0"/>
    <s v="Delivered"/>
    <s v="TRK21451375"/>
    <n v="5"/>
    <s v="FREESHIP"/>
    <x v="4"/>
    <n v="904.65000000000009"/>
  </r>
  <r>
    <s v="ORD201158"/>
    <d v="2023-04-20T00:00:00"/>
    <s v="C82781"/>
    <s v="Monitor"/>
    <n v="4"/>
    <n v="27.42"/>
    <s v="661 Main St"/>
    <x v="0"/>
    <s v="Pending"/>
    <s v="TRK20605418"/>
    <n v="4"/>
    <s v="SAVE10"/>
    <x v="1"/>
    <n v="109.68"/>
  </r>
  <r>
    <s v="ORD201159"/>
    <d v="2024-02-23T00:00:00"/>
    <s v="C66112"/>
    <s v="Desk"/>
    <n v="4"/>
    <n v="466.7"/>
    <s v="874 Main St"/>
    <x v="0"/>
    <s v="Returned"/>
    <s v="TRK60955607"/>
    <n v="8"/>
    <m/>
    <x v="0"/>
    <n v="1866.8"/>
  </r>
  <r>
    <s v="ORD201160"/>
    <d v="2024-09-04T00:00:00"/>
    <s v="C40466"/>
    <s v="Desk"/>
    <n v="1"/>
    <n v="541.64"/>
    <s v="449 Main St"/>
    <x v="0"/>
    <s v="Shipped"/>
    <s v="TRK70255168"/>
    <n v="5"/>
    <s v="SAVE10"/>
    <x v="2"/>
    <n v="541.64"/>
  </r>
  <r>
    <s v="ORD201161"/>
    <d v="2023-10-16T00:00:00"/>
    <s v="C32570"/>
    <s v="Phone"/>
    <n v="1"/>
    <n v="11.39"/>
    <s v="826 Main St"/>
    <x v="4"/>
    <s v="Cancelled"/>
    <s v="TRK35969968"/>
    <n v="6"/>
    <s v="WINTER15"/>
    <x v="2"/>
    <n v="11.39"/>
  </r>
  <r>
    <s v="ORD201162"/>
    <d v="2025-03-11T00:00:00"/>
    <s v="C29405"/>
    <s v="Phone"/>
    <n v="2"/>
    <n v="224.37"/>
    <s v="251 Main St"/>
    <x v="0"/>
    <s v="Delivered"/>
    <s v="TRK33125798"/>
    <n v="3"/>
    <s v="WINTER15"/>
    <x v="1"/>
    <n v="448.74"/>
  </r>
  <r>
    <s v="ORD201163"/>
    <d v="2024-06-11T00:00:00"/>
    <s v="C30643"/>
    <s v="Laptop"/>
    <n v="3"/>
    <n v="306.29000000000002"/>
    <s v="966 Main St"/>
    <x v="2"/>
    <s v="Returned"/>
    <s v="TRK19477485"/>
    <n v="7"/>
    <s v="WINTER15"/>
    <x v="0"/>
    <n v="918.87000000000012"/>
  </r>
  <r>
    <s v="ORD201164"/>
    <d v="2024-01-08T00:00:00"/>
    <s v="C65890"/>
    <s v="Tablet"/>
    <n v="5"/>
    <n v="315.57"/>
    <s v="340 Main St"/>
    <x v="0"/>
    <s v="Delivered"/>
    <s v="TRK64530489"/>
    <n v="6"/>
    <s v="WINTER15"/>
    <x v="2"/>
    <n v="1577.85"/>
  </r>
  <r>
    <s v="ORD201165"/>
    <d v="2023-07-14T00:00:00"/>
    <s v="C36992"/>
    <s v="Chair"/>
    <n v="3"/>
    <n v="223.79"/>
    <s v="617 Main St"/>
    <x v="0"/>
    <s v="Pending"/>
    <s v="TRK63460217"/>
    <n v="3"/>
    <m/>
    <x v="4"/>
    <n v="671.37"/>
  </r>
  <r>
    <s v="ORD201166"/>
    <d v="2023-07-31T00:00:00"/>
    <s v="C95568"/>
    <s v="Chair"/>
    <n v="3"/>
    <n v="324.47000000000003"/>
    <s v="971 Main St"/>
    <x v="4"/>
    <s v="Delivered"/>
    <s v="TRK37075292"/>
    <n v="4"/>
    <s v="WINTER15"/>
    <x v="2"/>
    <n v="973.41000000000008"/>
  </r>
  <r>
    <s v="ORD201167"/>
    <d v="2023-10-17T00:00:00"/>
    <s v="C17966"/>
    <s v="Printer"/>
    <n v="2"/>
    <n v="92.87"/>
    <s v="360 Main St"/>
    <x v="2"/>
    <s v="Pending"/>
    <s v="TRK31169396"/>
    <n v="5"/>
    <s v="FREESHIP"/>
    <x v="3"/>
    <n v="185.74"/>
  </r>
  <r>
    <s v="ORD201168"/>
    <d v="2023-04-08T00:00:00"/>
    <s v="C89559"/>
    <s v="Laptop"/>
    <n v="2"/>
    <n v="331.42"/>
    <s v="297 Main St"/>
    <x v="2"/>
    <s v="Delivered"/>
    <s v="TRK82838108"/>
    <n v="6"/>
    <s v="WINTER15"/>
    <x v="4"/>
    <n v="662.84"/>
  </r>
  <r>
    <s v="ORD201169"/>
    <d v="2024-12-23T00:00:00"/>
    <s v="C15849"/>
    <s v="Chair"/>
    <n v="1"/>
    <n v="525.42999999999995"/>
    <s v="643 Main St"/>
    <x v="4"/>
    <s v="Cancelled"/>
    <s v="TRK26794546"/>
    <n v="2"/>
    <s v="SAVE10"/>
    <x v="0"/>
    <n v="525.42999999999995"/>
  </r>
  <r>
    <s v="ORD201170"/>
    <d v="2023-08-03T00:00:00"/>
    <s v="C94257"/>
    <s v="Printer"/>
    <n v="2"/>
    <n v="697.19"/>
    <s v="762 Main St"/>
    <x v="4"/>
    <s v="Returned"/>
    <s v="TRK40220743"/>
    <n v="7"/>
    <s v="FREESHIP"/>
    <x v="2"/>
    <n v="1394.38"/>
  </r>
  <r>
    <s v="ORD201171"/>
    <d v="2023-08-28T00:00:00"/>
    <s v="C39911"/>
    <s v="Phone"/>
    <n v="4"/>
    <n v="518.4"/>
    <s v="699 Main St"/>
    <x v="2"/>
    <s v="Delivered"/>
    <s v="TRK80431998"/>
    <n v="7"/>
    <s v="SAVE10"/>
    <x v="3"/>
    <n v="2073.6"/>
  </r>
  <r>
    <s v="ORD201172"/>
    <d v="2025-02-04T00:00:00"/>
    <s v="C28828"/>
    <s v="Desk"/>
    <n v="3"/>
    <n v="131.96"/>
    <s v="745 Main St"/>
    <x v="2"/>
    <s v="Pending"/>
    <s v="TRK32550359"/>
    <n v="8"/>
    <m/>
    <x v="0"/>
    <n v="395.88"/>
  </r>
  <r>
    <s v="ORD201173"/>
    <d v="2024-10-04T00:00:00"/>
    <s v="C82921"/>
    <s v="Monitor"/>
    <n v="1"/>
    <n v="208.36"/>
    <s v="703 Main St"/>
    <x v="1"/>
    <s v="Shipped"/>
    <s v="TRK31079911"/>
    <n v="4"/>
    <s v="FREESHIP"/>
    <x v="2"/>
    <n v="208.36"/>
  </r>
  <r>
    <s v="ORD201174"/>
    <d v="2023-11-27T00:00:00"/>
    <s v="C50159"/>
    <s v="Printer"/>
    <n v="3"/>
    <n v="222.34"/>
    <s v="105 Main St"/>
    <x v="2"/>
    <s v="Returned"/>
    <s v="TRK53737452"/>
    <n v="5"/>
    <s v="WINTER15"/>
    <x v="2"/>
    <n v="667.02"/>
  </r>
  <r>
    <s v="ORD201175"/>
    <d v="2024-09-10T00:00:00"/>
    <s v="C62512"/>
    <s v="Printer"/>
    <n v="3"/>
    <n v="91.74"/>
    <s v="368 Main St"/>
    <x v="0"/>
    <s v="Returned"/>
    <s v="TRK24139954"/>
    <n v="8"/>
    <s v="FREESHIP"/>
    <x v="1"/>
    <n v="275.22000000000003"/>
  </r>
  <r>
    <s v="ORD201176"/>
    <d v="2023-08-13T00:00:00"/>
    <s v="C39260"/>
    <s v="Tablet"/>
    <n v="2"/>
    <n v="213.83"/>
    <s v="374 Main St"/>
    <x v="0"/>
    <s v="Cancelled"/>
    <s v="TRK55587314"/>
    <n v="2"/>
    <s v="WINTER15"/>
    <x v="2"/>
    <n v="427.66"/>
  </r>
  <r>
    <s v="ORD201177"/>
    <d v="2023-04-27T00:00:00"/>
    <s v="C23917"/>
    <s v="Printer"/>
    <n v="1"/>
    <n v="127.55"/>
    <s v="433 Main St"/>
    <x v="4"/>
    <s v="Shipped"/>
    <s v="TRK44434536"/>
    <n v="3"/>
    <s v="SAVE10"/>
    <x v="1"/>
    <n v="127.55"/>
  </r>
  <r>
    <s v="ORD201178"/>
    <d v="2024-09-08T00:00:00"/>
    <s v="C65107"/>
    <s v="Monitor"/>
    <n v="1"/>
    <n v="70.239999999999995"/>
    <s v="456 Main St"/>
    <x v="2"/>
    <s v="Cancelled"/>
    <s v="TRK10261578"/>
    <n v="4"/>
    <s v="FREESHIP"/>
    <x v="4"/>
    <n v="70.239999999999995"/>
  </r>
  <r>
    <s v="ORD201179"/>
    <d v="2023-01-08T00:00:00"/>
    <s v="C84630"/>
    <s v="Laptop"/>
    <n v="5"/>
    <n v="518.54999999999995"/>
    <s v="907 Main St"/>
    <x v="2"/>
    <s v="Cancelled"/>
    <s v="TRK48054997"/>
    <n v="6"/>
    <s v="WINTER15"/>
    <x v="0"/>
    <n v="2592.75"/>
  </r>
  <r>
    <s v="ORD201180"/>
    <d v="2023-10-31T00:00:00"/>
    <s v="C42235"/>
    <s v="Chair"/>
    <n v="4"/>
    <n v="298.36"/>
    <s v="722 Main St"/>
    <x v="0"/>
    <s v="Pending"/>
    <s v="TRK49379882"/>
    <n v="8"/>
    <s v="FREESHIP"/>
    <x v="4"/>
    <n v="1193.44"/>
  </r>
  <r>
    <s v="ORD201181"/>
    <d v="2023-07-27T00:00:00"/>
    <s v="C70246"/>
    <s v="Desk"/>
    <n v="3"/>
    <n v="158.74"/>
    <s v="293 Main St"/>
    <x v="1"/>
    <s v="Pending"/>
    <s v="TRK45708320"/>
    <n v="7"/>
    <s v="FREESHIP"/>
    <x v="0"/>
    <n v="476.22"/>
  </r>
  <r>
    <s v="ORD201182"/>
    <d v="2025-06-14T00:00:00"/>
    <s v="C18473"/>
    <s v="Chair"/>
    <n v="2"/>
    <n v="420.29"/>
    <s v="700 Main St"/>
    <x v="3"/>
    <s v="Returned"/>
    <s v="TRK97834202"/>
    <n v="3"/>
    <s v="SAVE10"/>
    <x v="4"/>
    <n v="840.58"/>
  </r>
  <r>
    <s v="ORD201183"/>
    <d v="2023-04-05T00:00:00"/>
    <s v="C12607"/>
    <s v="Desk"/>
    <n v="1"/>
    <n v="281.52"/>
    <s v="460 Main St"/>
    <x v="3"/>
    <s v="Shipped"/>
    <s v="TRK83653396"/>
    <n v="6"/>
    <s v="WINTER15"/>
    <x v="1"/>
    <n v="281.52"/>
  </r>
  <r>
    <s v="ORD201184"/>
    <d v="2023-09-27T00:00:00"/>
    <s v="C10222"/>
    <s v="Laptop"/>
    <n v="1"/>
    <n v="204.08"/>
    <s v="979 Main St"/>
    <x v="3"/>
    <s v="Returned"/>
    <s v="TRK86297895"/>
    <n v="4"/>
    <m/>
    <x v="4"/>
    <n v="204.08"/>
  </r>
  <r>
    <s v="ORD201185"/>
    <d v="2024-07-08T00:00:00"/>
    <s v="C77344"/>
    <s v="Chair"/>
    <n v="1"/>
    <n v="343.31"/>
    <s v="777 Main St"/>
    <x v="3"/>
    <s v="Returned"/>
    <s v="TRK20605055"/>
    <n v="6"/>
    <s v="SAVE10"/>
    <x v="4"/>
    <n v="343.31"/>
  </r>
  <r>
    <s v="ORD201186"/>
    <d v="2023-11-18T00:00:00"/>
    <s v="C65497"/>
    <s v="Monitor"/>
    <n v="1"/>
    <n v="163.32"/>
    <s v="676 Main St"/>
    <x v="4"/>
    <s v="Shipped"/>
    <s v="TRK83702761"/>
    <n v="6"/>
    <s v="WINTER15"/>
    <x v="3"/>
    <n v="163.32"/>
  </r>
  <r>
    <s v="ORD201187"/>
    <d v="2024-03-13T00:00:00"/>
    <s v="C26340"/>
    <s v="Desk"/>
    <n v="2"/>
    <n v="184.6"/>
    <s v="562 Main St"/>
    <x v="3"/>
    <s v="Delivered"/>
    <s v="TRK59962703"/>
    <n v="7"/>
    <s v="WINTER15"/>
    <x v="2"/>
    <n v="369.2"/>
  </r>
  <r>
    <s v="ORD201188"/>
    <d v="2023-10-07T00:00:00"/>
    <s v="C75619"/>
    <s v="Printer"/>
    <n v="2"/>
    <n v="371.29"/>
    <s v="924 Main St"/>
    <x v="3"/>
    <s v="Shipped"/>
    <s v="TRK23086941"/>
    <n v="5"/>
    <s v="WINTER15"/>
    <x v="3"/>
    <n v="742.58"/>
  </r>
  <r>
    <s v="ORD201189"/>
    <d v="2024-08-17T00:00:00"/>
    <s v="C96136"/>
    <s v="Tablet"/>
    <n v="5"/>
    <n v="389.22"/>
    <s v="149 Main St"/>
    <x v="4"/>
    <s v="Cancelled"/>
    <s v="TRK60856682"/>
    <n v="7"/>
    <m/>
    <x v="1"/>
    <n v="1946.1"/>
  </r>
  <r>
    <s v="ORD201190"/>
    <d v="2025-06-08T00:00:00"/>
    <s v="C46886"/>
    <s v="Desk"/>
    <n v="3"/>
    <n v="616.39"/>
    <s v="754 Main St"/>
    <x v="2"/>
    <s v="Shipped"/>
    <s v="TRK82791646"/>
    <n v="6"/>
    <s v="FREESHIP"/>
    <x v="0"/>
    <n v="1849.17"/>
  </r>
  <r>
    <s v="ORD201191"/>
    <d v="2025-02-10T00:00:00"/>
    <s v="C44148"/>
    <s v="Desk"/>
    <n v="4"/>
    <n v="376.43"/>
    <s v="809 Main St"/>
    <x v="3"/>
    <s v="Pending"/>
    <s v="TRK67872709"/>
    <n v="5"/>
    <s v="WINTER15"/>
    <x v="0"/>
    <n v="1505.72"/>
  </r>
  <r>
    <s v="ORD201192"/>
    <d v="2024-02-28T00:00:00"/>
    <s v="C72007"/>
    <s v="Chair"/>
    <n v="3"/>
    <n v="432.85"/>
    <s v="999 Main St"/>
    <x v="1"/>
    <s v="Pending"/>
    <s v="TRK16240916"/>
    <n v="4"/>
    <m/>
    <x v="0"/>
    <n v="1298.55"/>
  </r>
  <r>
    <s v="ORD201193"/>
    <d v="2025-06-16T00:00:00"/>
    <s v="C45104"/>
    <s v="Tablet"/>
    <n v="1"/>
    <n v="687.89"/>
    <s v="348 Main St"/>
    <x v="4"/>
    <s v="Returned"/>
    <s v="TRK38559816"/>
    <n v="1"/>
    <s v="FREESHIP"/>
    <x v="2"/>
    <n v="687.89"/>
  </r>
  <r>
    <s v="ORD201194"/>
    <d v="2023-11-19T00:00:00"/>
    <s v="C29885"/>
    <s v="Printer"/>
    <n v="3"/>
    <n v="189.44"/>
    <s v="725 Main St"/>
    <x v="4"/>
    <s v="Pending"/>
    <s v="TRK62067865"/>
    <n v="4"/>
    <s v="FREESHIP"/>
    <x v="2"/>
    <n v="568.31999999999994"/>
  </r>
  <r>
    <s v="ORD201195"/>
    <d v="2024-06-20T00:00:00"/>
    <s v="C21126"/>
    <s v="Desk"/>
    <n v="1"/>
    <n v="107.04"/>
    <s v="392 Main St"/>
    <x v="2"/>
    <s v="Cancelled"/>
    <s v="TRK38009181"/>
    <n v="6"/>
    <s v="FREESHIP"/>
    <x v="4"/>
    <n v="107.04"/>
  </r>
  <r>
    <s v="ORD201196"/>
    <d v="2024-03-04T00:00:00"/>
    <s v="C20095"/>
    <s v="Monitor"/>
    <n v="2"/>
    <n v="662.53"/>
    <s v="778 Main St"/>
    <x v="1"/>
    <s v="Cancelled"/>
    <s v="TRK69207593"/>
    <n v="5"/>
    <m/>
    <x v="3"/>
    <n v="1325.06"/>
  </r>
  <r>
    <s v="ORD201197"/>
    <d v="2023-07-13T00:00:00"/>
    <s v="C79674"/>
    <s v="Tablet"/>
    <n v="2"/>
    <n v="436.84"/>
    <s v="275 Main St"/>
    <x v="1"/>
    <s v="Delivered"/>
    <s v="TRK88039356"/>
    <n v="2"/>
    <s v="FREESHIP"/>
    <x v="0"/>
    <n v="873.68"/>
  </r>
  <r>
    <s v="ORD201198"/>
    <d v="2024-08-22T00:00:00"/>
    <s v="C64753"/>
    <s v="Chair"/>
    <n v="4"/>
    <n v="262.52"/>
    <s v="509 Main St"/>
    <x v="0"/>
    <s v="Cancelled"/>
    <s v="TRK71683331"/>
    <n v="4"/>
    <s v="WINTER15"/>
    <x v="0"/>
    <n v="1050.08"/>
  </r>
  <r>
    <s v="ORD201199"/>
    <d v="2023-06-11T00:00:00"/>
    <s v="C57502"/>
    <s v="Tablet"/>
    <n v="4"/>
    <n v="560.58000000000004"/>
    <s v="201 Main St"/>
    <x v="3"/>
    <s v="Returned"/>
    <s v="TRK51116746"/>
    <n v="6"/>
    <s v="SAVE10"/>
    <x v="1"/>
    <n v="2242.32000000000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C72649"/>
    <s v="Monitor"/>
    <x v="0"/>
    <n v="570.62"/>
    <s v="928 Main St"/>
    <s v="Debit Card"/>
    <s v="Shipped"/>
    <s v="TRK37947903"/>
    <n v="7"/>
    <s v="SAVE10"/>
    <x v="0"/>
    <n v="2853.1"/>
    <x v="0"/>
  </r>
  <r>
    <s v="ORD200001"/>
    <d v="2024-08-23T00:00:00"/>
    <s v="C75739"/>
    <s v="Phone"/>
    <x v="1"/>
    <n v="151.35"/>
    <s v="823 Main St"/>
    <s v="Online"/>
    <s v="Shipped"/>
    <s v="TRK91186779"/>
    <n v="3"/>
    <s v="SAVE10"/>
    <x v="1"/>
    <n v="302.7"/>
    <x v="1"/>
  </r>
  <r>
    <s v="ORD200002"/>
    <d v="2024-02-27T00:00:00"/>
    <s v="C81728"/>
    <s v="Tablet"/>
    <x v="0"/>
    <n v="550.67999999999995"/>
    <s v="512 Main St"/>
    <s v="Credit Card"/>
    <s v="Cancelled"/>
    <s v="TRK42903982"/>
    <n v="8"/>
    <s v="FREESHIP"/>
    <x v="2"/>
    <n v="2753.4"/>
    <x v="2"/>
  </r>
  <r>
    <s v="ORD200003"/>
    <d v="2023-10-15T00:00:00"/>
    <s v="C33540"/>
    <s v="Chair"/>
    <x v="2"/>
    <n v="273.19"/>
    <s v="275 Main St"/>
    <s v="Debit Card"/>
    <s v="Returned"/>
    <s v="TRK62788070"/>
    <n v="5"/>
    <s v="SAVE10"/>
    <x v="3"/>
    <n v="273.19"/>
    <x v="3"/>
  </r>
  <r>
    <s v="ORD200004"/>
    <d v="2025-05-08T00:00:00"/>
    <s v="C81840"/>
    <s v="Printer"/>
    <x v="3"/>
    <n v="626.01"/>
    <s v="668 Main St"/>
    <s v="Online"/>
    <s v="Delivered"/>
    <s v="TRK29241424"/>
    <n v="8"/>
    <s v="SAVE10"/>
    <x v="2"/>
    <n v="2504.04"/>
    <x v="4"/>
  </r>
  <r>
    <s v="ORD200005"/>
    <d v="2023-10-23T00:00:00"/>
    <s v="C37249"/>
    <s v="Phone"/>
    <x v="1"/>
    <n v="245.86"/>
    <s v="934 Main St"/>
    <s v="Credit Card"/>
    <s v="Shipped"/>
    <s v="TRK72976927"/>
    <n v="4"/>
    <s v="SAVE10"/>
    <x v="0"/>
    <n v="491.72"/>
    <x v="3"/>
  </r>
  <r>
    <s v="ORD200006"/>
    <d v="2025-06-17T00:00:00"/>
    <s v="C83492"/>
    <s v="Laptop"/>
    <x v="2"/>
    <n v="664.42"/>
    <s v="986 Main St"/>
    <s v="Gift Card"/>
    <s v="Returned"/>
    <s v="TRK96417362"/>
    <n v="6"/>
    <s v="SAVE10"/>
    <x v="3"/>
    <n v="664.42"/>
    <x v="5"/>
  </r>
  <r>
    <s v="ORD200007"/>
    <d v="2023-05-12T00:00:00"/>
    <s v="C41460"/>
    <s v="Monitor"/>
    <x v="0"/>
    <n v="149.55000000000001"/>
    <s v="706 Main St"/>
    <s v="Cash"/>
    <s v="Shipped"/>
    <s v="TRK78809193"/>
    <n v="9"/>
    <s v="FREESHIP"/>
    <x v="3"/>
    <n v="747.75"/>
    <x v="4"/>
  </r>
  <r>
    <s v="ORD200008"/>
    <d v="2025-04-02T00:00:00"/>
    <s v="C26817"/>
    <s v="Phone"/>
    <x v="1"/>
    <n v="134.28"/>
    <s v="904 Main St"/>
    <s v="Gift Card"/>
    <s v="Cancelled"/>
    <s v="TRK61042692"/>
    <n v="2"/>
    <m/>
    <x v="2"/>
    <n v="268.56"/>
    <x v="6"/>
  </r>
  <r>
    <s v="ORD200009"/>
    <d v="2023-11-21T00:00:00"/>
    <s v="C31946"/>
    <s v="Desk"/>
    <x v="3"/>
    <n v="509.38"/>
    <s v="102 Main St"/>
    <s v="Credit Card"/>
    <s v="Shipped"/>
    <s v="TRK33478363"/>
    <n v="6"/>
    <s v="SAVE10"/>
    <x v="4"/>
    <n v="2037.52"/>
    <x v="7"/>
  </r>
  <r>
    <s v="ORD200010"/>
    <d v="2023-12-29T00:00:00"/>
    <s v="C43443"/>
    <s v="Tablet"/>
    <x v="0"/>
    <n v="625.97"/>
    <s v="333 Main St"/>
    <s v="Credit Card"/>
    <s v="Returned"/>
    <s v="TRK98859248"/>
    <n v="9"/>
    <s v="WINTER15"/>
    <x v="0"/>
    <n v="3129.85"/>
    <x v="8"/>
  </r>
  <r>
    <s v="ORD200011"/>
    <d v="2024-02-17T00:00:00"/>
    <s v="C93861"/>
    <s v="Monitor"/>
    <x v="4"/>
    <n v="49.14"/>
    <s v="831 Main St"/>
    <s v="Online"/>
    <s v="Returned"/>
    <s v="TRK48234646"/>
    <n v="7"/>
    <s v="SAVE10"/>
    <x v="2"/>
    <n v="147.41999999999999"/>
    <x v="2"/>
  </r>
  <r>
    <s v="ORD200012"/>
    <d v="2024-10-15T00:00:00"/>
    <s v="C38785"/>
    <s v="Monitor"/>
    <x v="1"/>
    <n v="180.5"/>
    <s v="179 Main St"/>
    <s v="Debit Card"/>
    <s v="Pending"/>
    <s v="TRK20419991"/>
    <n v="6"/>
    <s v="FREESHIP"/>
    <x v="1"/>
    <n v="361"/>
    <x v="3"/>
  </r>
  <r>
    <s v="ORD200013"/>
    <d v="2023-08-30T00:00:00"/>
    <s v="C88348"/>
    <s v="Laptop"/>
    <x v="4"/>
    <n v="201.49"/>
    <s v="903 Main St"/>
    <s v="Credit Card"/>
    <s v="Returned"/>
    <s v="TRK81913874"/>
    <n v="4"/>
    <s v="FREESHIP"/>
    <x v="3"/>
    <n v="604.47"/>
    <x v="1"/>
  </r>
  <r>
    <s v="ORD200014"/>
    <d v="2023-03-27T00:00:00"/>
    <s v="C98474"/>
    <s v="Tablet"/>
    <x v="1"/>
    <n v="393.33"/>
    <s v="980 Main St"/>
    <s v="Debit Card"/>
    <s v="Pending"/>
    <s v="TRK79186539"/>
    <n v="3"/>
    <s v="SAVE10"/>
    <x v="0"/>
    <n v="786.66"/>
    <x v="9"/>
  </r>
  <r>
    <s v="ORD200015"/>
    <d v="2023-07-17T00:00:00"/>
    <s v="C39416"/>
    <s v="Printer"/>
    <x v="2"/>
    <n v="473.96"/>
    <s v="942 Main St"/>
    <s v="Cash"/>
    <s v="Delivered"/>
    <s v="TRK54930938"/>
    <n v="3"/>
    <m/>
    <x v="4"/>
    <n v="473.96"/>
    <x v="10"/>
  </r>
  <r>
    <s v="ORD200016"/>
    <d v="2023-01-24T00:00:00"/>
    <s v="C28976"/>
    <s v="Printer"/>
    <x v="1"/>
    <n v="533.80999999999995"/>
    <s v="914 Main St"/>
    <s v="Credit Card"/>
    <s v="Pending"/>
    <s v="TRK13194259"/>
    <n v="3"/>
    <s v="FREESHIP"/>
    <x v="2"/>
    <n v="1067.6199999999999"/>
    <x v="0"/>
  </r>
  <r>
    <s v="ORD200017"/>
    <d v="2024-03-02T00:00:00"/>
    <s v="C60672"/>
    <s v="Tablet"/>
    <x v="2"/>
    <n v="423.4"/>
    <s v="382 Main St"/>
    <s v="Debit Card"/>
    <s v="Shipped"/>
    <s v="TRK11972116"/>
    <n v="3"/>
    <m/>
    <x v="1"/>
    <n v="423.4"/>
    <x v="9"/>
  </r>
  <r>
    <s v="ORD200018"/>
    <d v="2025-03-26T00:00:00"/>
    <s v="C84329"/>
    <s v="Desk"/>
    <x v="2"/>
    <n v="431.44"/>
    <s v="891 Main St"/>
    <s v="Gift Card"/>
    <s v="Pending"/>
    <s v="TRK65191045"/>
    <n v="3"/>
    <s v="SAVE10"/>
    <x v="3"/>
    <n v="431.44"/>
    <x v="9"/>
  </r>
  <r>
    <s v="ORD200019"/>
    <d v="2023-01-23T00:00:00"/>
    <s v="C14552"/>
    <s v="Monitor"/>
    <x v="0"/>
    <n v="224"/>
    <s v="273 Main St"/>
    <s v="Cash"/>
    <s v="Returned"/>
    <s v="TRK59101365"/>
    <n v="9"/>
    <s v="SAVE10"/>
    <x v="4"/>
    <n v="1120"/>
    <x v="0"/>
  </r>
  <r>
    <s v="ORD200020"/>
    <d v="2023-05-08T00:00:00"/>
    <s v="C54829"/>
    <s v="Chair"/>
    <x v="0"/>
    <n v="62.51"/>
    <s v="587 Main St"/>
    <s v="Cash"/>
    <s v="Pending"/>
    <s v="TRK16718651"/>
    <n v="9"/>
    <s v="WINTER15"/>
    <x v="0"/>
    <n v="312.55"/>
    <x v="4"/>
  </r>
  <r>
    <s v="ORD200021"/>
    <d v="2024-11-17T00:00:00"/>
    <s v="C99023"/>
    <s v="Monitor"/>
    <x v="3"/>
    <n v="342.95"/>
    <s v="569 Main St"/>
    <s v="Cash"/>
    <s v="Delivered"/>
    <s v="TRK52646983"/>
    <n v="6"/>
    <m/>
    <x v="4"/>
    <n v="1371.8"/>
    <x v="7"/>
  </r>
  <r>
    <s v="ORD200022"/>
    <d v="2023-01-29T00:00:00"/>
    <s v="C34416"/>
    <s v="Monitor"/>
    <x v="1"/>
    <n v="49.62"/>
    <s v="633 Main St"/>
    <s v="Online"/>
    <s v="Pending"/>
    <s v="TRK75937350"/>
    <n v="2"/>
    <s v="SAVE10"/>
    <x v="4"/>
    <n v="99.24"/>
    <x v="0"/>
  </r>
  <r>
    <s v="ORD200023"/>
    <d v="2025-04-09T00:00:00"/>
    <s v="C42372"/>
    <s v="Phone"/>
    <x v="3"/>
    <n v="273.25"/>
    <s v="755 Main St"/>
    <s v="Debit Card"/>
    <s v="Cancelled"/>
    <s v="TRK36168083"/>
    <n v="5"/>
    <s v="FREESHIP"/>
    <x v="1"/>
    <n v="1093"/>
    <x v="6"/>
  </r>
  <r>
    <s v="ORD200024"/>
    <d v="2024-10-30T00:00:00"/>
    <s v="C17470"/>
    <s v="Laptop"/>
    <x v="1"/>
    <n v="230.95"/>
    <s v="956 Main St"/>
    <s v="Online"/>
    <s v="Delivered"/>
    <s v="TRK28775057"/>
    <n v="3"/>
    <s v="WINTER15"/>
    <x v="1"/>
    <n v="461.9"/>
    <x v="3"/>
  </r>
  <r>
    <s v="ORD200025"/>
    <d v="2024-07-24T00:00:00"/>
    <s v="C42577"/>
    <s v="Monitor"/>
    <x v="2"/>
    <n v="399.98"/>
    <s v="709 Main St"/>
    <s v="Debit Card"/>
    <s v="Delivered"/>
    <s v="TRK69423327"/>
    <n v="3"/>
    <s v="WINTER15"/>
    <x v="2"/>
    <n v="399.98"/>
    <x v="10"/>
  </r>
  <r>
    <s v="ORD200026"/>
    <d v="2024-03-06T00:00:00"/>
    <s v="C21944"/>
    <s v="Laptop"/>
    <x v="0"/>
    <n v="59.55"/>
    <s v="296 Main St"/>
    <s v="Online"/>
    <s v="Delivered"/>
    <s v="TRK80276812"/>
    <n v="6"/>
    <m/>
    <x v="1"/>
    <n v="297.75"/>
    <x v="9"/>
  </r>
  <r>
    <s v="ORD200027"/>
    <d v="2024-02-22T00:00:00"/>
    <s v="C97593"/>
    <s v="Printer"/>
    <x v="2"/>
    <n v="472.74"/>
    <s v="881 Main St"/>
    <s v="Online"/>
    <s v="Shipped"/>
    <s v="TRK89117573"/>
    <n v="6"/>
    <s v="WINTER15"/>
    <x v="4"/>
    <n v="472.74"/>
    <x v="2"/>
  </r>
  <r>
    <s v="ORD200028"/>
    <d v="2023-11-21T00:00:00"/>
    <s v="C59823"/>
    <s v="Phone"/>
    <x v="3"/>
    <n v="160.07"/>
    <s v="568 Main St"/>
    <s v="Online"/>
    <s v="Pending"/>
    <s v="TRK65895539"/>
    <n v="5"/>
    <m/>
    <x v="2"/>
    <n v="640.28"/>
    <x v="7"/>
  </r>
  <r>
    <s v="ORD200029"/>
    <d v="2024-09-20T00:00:00"/>
    <s v="C33260"/>
    <s v="Desk"/>
    <x v="4"/>
    <n v="423.53"/>
    <s v="930 Main St"/>
    <s v="Credit Card"/>
    <s v="Delivered"/>
    <s v="TRK59744090"/>
    <n v="6"/>
    <s v="SAVE10"/>
    <x v="1"/>
    <n v="1270.5899999999999"/>
    <x v="11"/>
  </r>
  <r>
    <s v="ORD200030"/>
    <d v="2025-03-22T00:00:00"/>
    <s v="C44267"/>
    <s v="Monitor"/>
    <x v="1"/>
    <n v="426.7"/>
    <s v="895 Main St"/>
    <s v="Online"/>
    <s v="Pending"/>
    <s v="TRK54751444"/>
    <n v="5"/>
    <s v="SAVE10"/>
    <x v="1"/>
    <n v="853.4"/>
    <x v="9"/>
  </r>
  <r>
    <s v="ORD200031"/>
    <d v="2023-06-30T00:00:00"/>
    <s v="C26445"/>
    <s v="Chair"/>
    <x v="4"/>
    <n v="500.08"/>
    <s v="996 Main St"/>
    <s v="Debit Card"/>
    <s v="Returned"/>
    <s v="TRK31229981"/>
    <n v="6"/>
    <m/>
    <x v="3"/>
    <n v="1500.24"/>
    <x v="5"/>
  </r>
  <r>
    <s v="ORD200032"/>
    <d v="2023-05-01T00:00:00"/>
    <s v="C12388"/>
    <s v="Tablet"/>
    <x v="0"/>
    <n v="536.72"/>
    <s v="830 Main St"/>
    <s v="Cash"/>
    <s v="Delivered"/>
    <s v="TRK99261395"/>
    <n v="10"/>
    <m/>
    <x v="2"/>
    <n v="2683.6"/>
    <x v="4"/>
  </r>
  <r>
    <s v="ORD200033"/>
    <d v="2023-06-05T00:00:00"/>
    <s v="C52184"/>
    <s v="Chair"/>
    <x v="2"/>
    <n v="162.77000000000001"/>
    <s v="912 Main St"/>
    <s v="Online"/>
    <s v="Cancelled"/>
    <s v="TRK73312471"/>
    <n v="4"/>
    <s v="WINTER15"/>
    <x v="3"/>
    <n v="162.77000000000001"/>
    <x v="5"/>
  </r>
  <r>
    <s v="ORD200034"/>
    <d v="2023-01-07T00:00:00"/>
    <s v="C67195"/>
    <s v="Chair"/>
    <x v="3"/>
    <n v="576.52"/>
    <s v="926 Main St"/>
    <s v="Credit Card"/>
    <s v="Pending"/>
    <s v="TRK55467915"/>
    <n v="5"/>
    <s v="WINTER15"/>
    <x v="3"/>
    <n v="2306.08"/>
    <x v="0"/>
  </r>
  <r>
    <s v="ORD200035"/>
    <d v="2024-12-07T00:00:00"/>
    <s v="C50304"/>
    <s v="Monitor"/>
    <x v="1"/>
    <n v="465.15"/>
    <s v="128 Main St"/>
    <s v="Online"/>
    <s v="Shipped"/>
    <s v="TRK46850888"/>
    <n v="2"/>
    <s v="SAVE10"/>
    <x v="3"/>
    <n v="930.3"/>
    <x v="8"/>
  </r>
  <r>
    <s v="ORD200036"/>
    <d v="2025-05-08T00:00:00"/>
    <s v="C59337"/>
    <s v="Laptop"/>
    <x v="1"/>
    <n v="534.42999999999995"/>
    <s v="465 Main St"/>
    <s v="Debit Card"/>
    <s v="Pending"/>
    <s v="TRK50961250"/>
    <n v="5"/>
    <m/>
    <x v="3"/>
    <n v="1068.8599999999999"/>
    <x v="4"/>
  </r>
  <r>
    <s v="ORD200037"/>
    <d v="2024-10-14T00:00:00"/>
    <s v="C10054"/>
    <s v="Laptop"/>
    <x v="1"/>
    <n v="76.739999999999995"/>
    <s v="409 Main St"/>
    <s v="Cash"/>
    <s v="Returned"/>
    <s v="TRK94005261"/>
    <n v="7"/>
    <s v="SAVE10"/>
    <x v="0"/>
    <n v="153.47999999999999"/>
    <x v="3"/>
  </r>
  <r>
    <s v="ORD200038"/>
    <d v="2024-12-19T00:00:00"/>
    <s v="C15924"/>
    <s v="Laptop"/>
    <x v="2"/>
    <n v="245.89"/>
    <s v="549 Main St"/>
    <s v="Debit Card"/>
    <s v="Delivered"/>
    <s v="TRK14835975"/>
    <n v="3"/>
    <s v="SAVE10"/>
    <x v="4"/>
    <n v="245.89"/>
    <x v="8"/>
  </r>
  <r>
    <s v="ORD200039"/>
    <d v="2025-02-27T00:00:00"/>
    <s v="C96664"/>
    <s v="Printer"/>
    <x v="4"/>
    <n v="256.45999999999998"/>
    <s v="666 Main St"/>
    <s v="Credit Card"/>
    <s v="Delivered"/>
    <s v="TRK85508960"/>
    <n v="4"/>
    <s v="SAVE10"/>
    <x v="1"/>
    <n v="769.37999999999988"/>
    <x v="2"/>
  </r>
  <r>
    <s v="ORD200040"/>
    <d v="2023-08-20T00:00:00"/>
    <s v="C84766"/>
    <s v="Desk"/>
    <x v="1"/>
    <n v="344.02"/>
    <s v="267 Main St"/>
    <s v="Online"/>
    <s v="Delivered"/>
    <s v="TRK78967923"/>
    <n v="4"/>
    <s v="FREESHIP"/>
    <x v="0"/>
    <n v="688.04"/>
    <x v="1"/>
  </r>
  <r>
    <s v="ORD200041"/>
    <d v="2023-12-05T00:00:00"/>
    <s v="C20212"/>
    <s v="Monitor"/>
    <x v="4"/>
    <n v="611.45000000000005"/>
    <s v="657 Main St"/>
    <s v="Gift Card"/>
    <s v="Pending"/>
    <s v="TRK69733327"/>
    <n v="4"/>
    <s v="FREESHIP"/>
    <x v="0"/>
    <n v="1834.35"/>
    <x v="8"/>
  </r>
  <r>
    <s v="ORD200042"/>
    <d v="2024-05-06T00:00:00"/>
    <s v="C28712"/>
    <s v="Printer"/>
    <x v="1"/>
    <n v="151.66"/>
    <s v="980 Main St"/>
    <s v="Cash"/>
    <s v="Cancelled"/>
    <s v="TRK40772558"/>
    <n v="6"/>
    <m/>
    <x v="0"/>
    <n v="303.32"/>
    <x v="4"/>
  </r>
  <r>
    <s v="ORD200043"/>
    <d v="2023-12-14T00:00:00"/>
    <s v="C60572"/>
    <s v="Chair"/>
    <x v="4"/>
    <n v="499.21"/>
    <s v="871 Main St"/>
    <s v="Online"/>
    <s v="Cancelled"/>
    <s v="TRK20351666"/>
    <n v="8"/>
    <m/>
    <x v="0"/>
    <n v="1497.63"/>
    <x v="8"/>
  </r>
  <r>
    <s v="ORD200044"/>
    <d v="2025-04-21T00:00:00"/>
    <s v="C73225"/>
    <s v="Phone"/>
    <x v="1"/>
    <n v="550.17999999999995"/>
    <s v="996 Main St"/>
    <s v="Gift Card"/>
    <s v="Returned"/>
    <s v="TRK73848522"/>
    <n v="3"/>
    <s v="FREESHIP"/>
    <x v="1"/>
    <n v="1100.3599999999999"/>
    <x v="6"/>
  </r>
  <r>
    <s v="ORD200045"/>
    <d v="2024-02-10T00:00:00"/>
    <s v="C17388"/>
    <s v="Chair"/>
    <x v="2"/>
    <n v="317.25"/>
    <s v="157 Main St"/>
    <s v="Debit Card"/>
    <s v="Returned"/>
    <s v="TRK47077395"/>
    <n v="1"/>
    <s v="SAVE10"/>
    <x v="3"/>
    <n v="317.25"/>
    <x v="2"/>
  </r>
  <r>
    <s v="ORD200046"/>
    <d v="2024-06-26T00:00:00"/>
    <s v="C43212"/>
    <s v="Monitor"/>
    <x v="3"/>
    <n v="550.14"/>
    <s v="223 Main St"/>
    <s v="Debit Card"/>
    <s v="Pending"/>
    <s v="TRK25100762"/>
    <n v="4"/>
    <s v="FREESHIP"/>
    <x v="0"/>
    <n v="2200.56"/>
    <x v="5"/>
  </r>
  <r>
    <s v="ORD200047"/>
    <d v="2023-07-19T00:00:00"/>
    <s v="C38134"/>
    <s v="Desk"/>
    <x v="1"/>
    <n v="209.94"/>
    <s v="323 Main St"/>
    <s v="Credit Card"/>
    <s v="Returned"/>
    <s v="TRK42450754"/>
    <n v="3"/>
    <s v="FREESHIP"/>
    <x v="2"/>
    <n v="419.88"/>
    <x v="10"/>
  </r>
  <r>
    <s v="ORD200048"/>
    <d v="2023-08-26T00:00:00"/>
    <s v="C12408"/>
    <s v="Monitor"/>
    <x v="1"/>
    <n v="80.77"/>
    <s v="464 Main St"/>
    <s v="Debit Card"/>
    <s v="Shipped"/>
    <s v="TRK38938858"/>
    <n v="4"/>
    <m/>
    <x v="4"/>
    <n v="161.54"/>
    <x v="1"/>
  </r>
  <r>
    <s v="ORD200049"/>
    <d v="2023-10-07T00:00:00"/>
    <s v="C11985"/>
    <s v="Printer"/>
    <x v="2"/>
    <n v="30.44"/>
    <s v="633 Main St"/>
    <s v="Credit Card"/>
    <s v="Shipped"/>
    <s v="TRK53272402"/>
    <n v="1"/>
    <s v="SAVE10"/>
    <x v="2"/>
    <n v="30.44"/>
    <x v="3"/>
  </r>
  <r>
    <s v="ORD200050"/>
    <d v="2023-07-31T00:00:00"/>
    <s v="C96494"/>
    <s v="Tablet"/>
    <x v="2"/>
    <n v="179.22"/>
    <s v="446 Main St"/>
    <s v="Online"/>
    <s v="Cancelled"/>
    <s v="TRK14675049"/>
    <n v="6"/>
    <s v="FREESHIP"/>
    <x v="0"/>
    <n v="179.22"/>
    <x v="10"/>
  </r>
  <r>
    <s v="ORD200051"/>
    <d v="2024-12-30T00:00:00"/>
    <s v="C36778"/>
    <s v="Tablet"/>
    <x v="2"/>
    <n v="388.33"/>
    <s v="434 Main St"/>
    <s v="Cash"/>
    <s v="Returned"/>
    <s v="TRK67610289"/>
    <n v="2"/>
    <s v="SAVE10"/>
    <x v="3"/>
    <n v="388.33"/>
    <x v="8"/>
  </r>
  <r>
    <s v="ORD200052"/>
    <d v="2024-09-08T00:00:00"/>
    <s v="C30513"/>
    <s v="Tablet"/>
    <x v="2"/>
    <n v="586.44000000000005"/>
    <s v="232 Main St"/>
    <s v="Online"/>
    <s v="Returned"/>
    <s v="TRK64320429"/>
    <n v="5"/>
    <s v="SAVE10"/>
    <x v="3"/>
    <n v="586.44000000000005"/>
    <x v="11"/>
  </r>
  <r>
    <s v="ORD200053"/>
    <d v="2024-05-18T00:00:00"/>
    <s v="C67551"/>
    <s v="Phone"/>
    <x v="3"/>
    <n v="488.78"/>
    <s v="512 Main St"/>
    <s v="Online"/>
    <s v="Returned"/>
    <s v="TRK94992552"/>
    <n v="5"/>
    <s v="FREESHIP"/>
    <x v="4"/>
    <n v="1955.12"/>
    <x v="4"/>
  </r>
  <r>
    <s v="ORD200054"/>
    <d v="2025-03-27T00:00:00"/>
    <s v="C48120"/>
    <s v="Chair"/>
    <x v="2"/>
    <n v="280.25"/>
    <s v="623 Main St"/>
    <s v="Online"/>
    <s v="Pending"/>
    <s v="TRK11014449"/>
    <n v="5"/>
    <s v="WINTER15"/>
    <x v="2"/>
    <n v="280.25"/>
    <x v="9"/>
  </r>
  <r>
    <s v="ORD200055"/>
    <d v="2025-06-24T00:00:00"/>
    <s v="C95984"/>
    <s v="Printer"/>
    <x v="4"/>
    <n v="344.4"/>
    <s v="565 Main St"/>
    <s v="Online"/>
    <s v="Cancelled"/>
    <s v="TRK67434829"/>
    <n v="3"/>
    <m/>
    <x v="3"/>
    <n v="1033.2"/>
    <x v="5"/>
  </r>
  <r>
    <s v="ORD200056"/>
    <d v="2023-05-21T00:00:00"/>
    <s v="C54298"/>
    <s v="Tablet"/>
    <x v="4"/>
    <n v="479.21"/>
    <s v="566 Main St"/>
    <s v="Cash"/>
    <s v="Cancelled"/>
    <s v="TRK62902341"/>
    <n v="5"/>
    <s v="WINTER15"/>
    <x v="1"/>
    <n v="1437.63"/>
    <x v="4"/>
  </r>
  <r>
    <s v="ORD200057"/>
    <d v="2023-01-22T00:00:00"/>
    <s v="C88036"/>
    <s v="Printer"/>
    <x v="0"/>
    <n v="314.27"/>
    <s v="842 Main St"/>
    <s v="Cash"/>
    <s v="Returned"/>
    <s v="TRK52470128"/>
    <n v="6"/>
    <s v="SAVE10"/>
    <x v="0"/>
    <n v="1571.35"/>
    <x v="0"/>
  </r>
  <r>
    <s v="ORD200058"/>
    <d v="2023-01-15T00:00:00"/>
    <s v="C60190"/>
    <s v="Phone"/>
    <x v="3"/>
    <n v="474.69"/>
    <s v="202 Main St"/>
    <s v="Gift Card"/>
    <s v="Cancelled"/>
    <s v="TRK70857868"/>
    <n v="6"/>
    <s v="SAVE10"/>
    <x v="4"/>
    <n v="1898.76"/>
    <x v="0"/>
  </r>
  <r>
    <s v="ORD200059"/>
    <d v="2024-09-11T00:00:00"/>
    <s v="C97603"/>
    <s v="Chair"/>
    <x v="3"/>
    <n v="593.27"/>
    <s v="811 Main St"/>
    <s v="Online"/>
    <s v="Shipped"/>
    <s v="TRK47055028"/>
    <n v="5"/>
    <m/>
    <x v="3"/>
    <n v="2373.08"/>
    <x v="11"/>
  </r>
  <r>
    <s v="ORD200060"/>
    <d v="2024-08-21T00:00:00"/>
    <s v="C39256"/>
    <s v="Desk"/>
    <x v="2"/>
    <n v="417.1"/>
    <s v="634 Main St"/>
    <s v="Debit Card"/>
    <s v="Returned"/>
    <s v="TRK23412025"/>
    <n v="3"/>
    <s v="FREESHIP"/>
    <x v="1"/>
    <n v="417.1"/>
    <x v="1"/>
  </r>
  <r>
    <s v="ORD200061"/>
    <d v="2024-03-24T00:00:00"/>
    <s v="C61618"/>
    <s v="Desk"/>
    <x v="3"/>
    <n v="122.2"/>
    <s v="104 Main St"/>
    <s v="Cash"/>
    <s v="Delivered"/>
    <s v="TRK43458485"/>
    <n v="7"/>
    <s v="FREESHIP"/>
    <x v="3"/>
    <n v="488.8"/>
    <x v="9"/>
  </r>
  <r>
    <s v="ORD200062"/>
    <d v="2023-08-22T00:00:00"/>
    <s v="C36497"/>
    <s v="Desk"/>
    <x v="1"/>
    <n v="43.15"/>
    <s v="691 Main St"/>
    <s v="Debit Card"/>
    <s v="Pending"/>
    <s v="TRK12102911"/>
    <n v="3"/>
    <s v="WINTER15"/>
    <x v="2"/>
    <n v="86.3"/>
    <x v="1"/>
  </r>
  <r>
    <s v="ORD200063"/>
    <d v="2025-02-02T00:00:00"/>
    <s v="C96695"/>
    <s v="Chair"/>
    <x v="2"/>
    <n v="564.86"/>
    <s v="813 Main St"/>
    <s v="Debit Card"/>
    <s v="Shipped"/>
    <s v="TRK64283851"/>
    <n v="6"/>
    <s v="WINTER15"/>
    <x v="1"/>
    <n v="564.86"/>
    <x v="2"/>
  </r>
  <r>
    <s v="ORD200064"/>
    <d v="2025-06-25T00:00:00"/>
    <s v="C49720"/>
    <s v="Printer"/>
    <x v="4"/>
    <n v="130.61000000000001"/>
    <s v="752 Main St"/>
    <s v="Debit Card"/>
    <s v="Cancelled"/>
    <s v="TRK55785217"/>
    <n v="4"/>
    <s v="FREESHIP"/>
    <x v="3"/>
    <n v="391.83"/>
    <x v="5"/>
  </r>
  <r>
    <s v="ORD200065"/>
    <d v="2023-12-30T00:00:00"/>
    <s v="C97735"/>
    <s v="Monitor"/>
    <x v="0"/>
    <n v="81.7"/>
    <s v="385 Main St"/>
    <s v="Credit Card"/>
    <s v="Delivered"/>
    <s v="TRK13743703"/>
    <n v="6"/>
    <m/>
    <x v="0"/>
    <n v="408.5"/>
    <x v="8"/>
  </r>
  <r>
    <s v="ORD200066"/>
    <d v="2024-11-15T00:00:00"/>
    <s v="C18104"/>
    <s v="Chair"/>
    <x v="0"/>
    <n v="127.18"/>
    <s v="715 Main St"/>
    <s v="Cash"/>
    <s v="Cancelled"/>
    <s v="TRK15488568"/>
    <n v="9"/>
    <s v="SAVE10"/>
    <x v="1"/>
    <n v="635.90000000000009"/>
    <x v="7"/>
  </r>
  <r>
    <s v="ORD200067"/>
    <d v="2024-12-09T00:00:00"/>
    <s v="C25587"/>
    <s v="Printer"/>
    <x v="3"/>
    <n v="12.1"/>
    <s v="440 Main St"/>
    <s v="Debit Card"/>
    <s v="Cancelled"/>
    <s v="TRK55105323"/>
    <n v="8"/>
    <m/>
    <x v="4"/>
    <n v="48.4"/>
    <x v="8"/>
  </r>
  <r>
    <s v="ORD200068"/>
    <d v="2023-12-11T00:00:00"/>
    <s v="C41598"/>
    <s v="Chair"/>
    <x v="4"/>
    <n v="490.92"/>
    <s v="709 Main St"/>
    <s v="Credit Card"/>
    <s v="Pending"/>
    <s v="TRK81665940"/>
    <n v="5"/>
    <s v="FREESHIP"/>
    <x v="2"/>
    <n v="1472.76"/>
    <x v="8"/>
  </r>
  <r>
    <s v="ORD200069"/>
    <d v="2023-05-11T00:00:00"/>
    <s v="C43338"/>
    <s v="Monitor"/>
    <x v="4"/>
    <n v="478.65"/>
    <s v="552 Main St"/>
    <s v="Online"/>
    <s v="Shipped"/>
    <s v="TRK35241775"/>
    <n v="4"/>
    <m/>
    <x v="1"/>
    <n v="1435.95"/>
    <x v="4"/>
  </r>
  <r>
    <s v="ORD200070"/>
    <d v="2023-05-26T00:00:00"/>
    <s v="C25123"/>
    <s v="Desk"/>
    <x v="2"/>
    <n v="629.21"/>
    <s v="384 Main St"/>
    <s v="Gift Card"/>
    <s v="Pending"/>
    <s v="TRK27812282"/>
    <n v="2"/>
    <s v="FREESHIP"/>
    <x v="0"/>
    <n v="629.21"/>
    <x v="4"/>
  </r>
  <r>
    <s v="ORD200071"/>
    <d v="2025-06-10T00:00:00"/>
    <s v="C37454"/>
    <s v="Monitor"/>
    <x v="4"/>
    <n v="434.45"/>
    <s v="923 Main St"/>
    <s v="Credit Card"/>
    <s v="Pending"/>
    <s v="TRK28252730"/>
    <n v="4"/>
    <m/>
    <x v="1"/>
    <n v="1303.3499999999999"/>
    <x v="5"/>
  </r>
  <r>
    <s v="ORD200072"/>
    <d v="2024-12-22T00:00:00"/>
    <s v="C19451"/>
    <s v="Tablet"/>
    <x v="3"/>
    <n v="589.44000000000005"/>
    <s v="942 Main St"/>
    <s v="Gift Card"/>
    <s v="Returned"/>
    <s v="TRK87787793"/>
    <n v="5"/>
    <m/>
    <x v="3"/>
    <n v="2357.7600000000002"/>
    <x v="8"/>
  </r>
  <r>
    <s v="ORD200073"/>
    <d v="2023-05-03T00:00:00"/>
    <s v="C17269"/>
    <s v="Monitor"/>
    <x v="3"/>
    <n v="433.45"/>
    <s v="129 Main St"/>
    <s v="Gift Card"/>
    <s v="Cancelled"/>
    <s v="TRK79608389"/>
    <n v="4"/>
    <m/>
    <x v="3"/>
    <n v="1733.8"/>
    <x v="4"/>
  </r>
  <r>
    <s v="ORD200074"/>
    <d v="2023-06-24T00:00:00"/>
    <s v="C25382"/>
    <s v="Phone"/>
    <x v="0"/>
    <n v="90.87"/>
    <s v="622 Main St"/>
    <s v="Cash"/>
    <s v="Pending"/>
    <s v="TRK64691287"/>
    <n v="5"/>
    <m/>
    <x v="0"/>
    <n v="454.35"/>
    <x v="5"/>
  </r>
  <r>
    <s v="ORD200075"/>
    <d v="2023-09-26T00:00:00"/>
    <s v="C80651"/>
    <s v="Tablet"/>
    <x v="4"/>
    <n v="398.17"/>
    <s v="917 Main St"/>
    <s v="Debit Card"/>
    <s v="Delivered"/>
    <s v="TRK14846720"/>
    <n v="5"/>
    <s v="SAVE10"/>
    <x v="2"/>
    <n v="1194.51"/>
    <x v="11"/>
  </r>
  <r>
    <s v="ORD200076"/>
    <d v="2024-03-31T00:00:00"/>
    <s v="C58638"/>
    <s v="Laptop"/>
    <x v="3"/>
    <n v="382.88"/>
    <s v="239 Main St"/>
    <s v="Cash"/>
    <s v="Cancelled"/>
    <s v="TRK38224871"/>
    <n v="6"/>
    <s v="WINTER15"/>
    <x v="2"/>
    <n v="1531.52"/>
    <x v="9"/>
  </r>
  <r>
    <s v="ORD200077"/>
    <d v="2024-05-24T00:00:00"/>
    <s v="C50121"/>
    <s v="Phone"/>
    <x v="2"/>
    <n v="583.17999999999995"/>
    <s v="348 Main St"/>
    <s v="Credit Card"/>
    <s v="Returned"/>
    <s v="TRK79810059"/>
    <n v="5"/>
    <m/>
    <x v="4"/>
    <n v="583.17999999999995"/>
    <x v="4"/>
  </r>
  <r>
    <s v="ORD200078"/>
    <d v="2024-08-06T00:00:00"/>
    <s v="C32029"/>
    <s v="Printer"/>
    <x v="3"/>
    <n v="175.36"/>
    <s v="146 Main St"/>
    <s v="Debit Card"/>
    <s v="Delivered"/>
    <s v="TRK68535532"/>
    <n v="4"/>
    <s v="FREESHIP"/>
    <x v="0"/>
    <n v="701.44"/>
    <x v="1"/>
  </r>
  <r>
    <s v="ORD200079"/>
    <d v="2025-03-10T00:00:00"/>
    <s v="C76700"/>
    <s v="Tablet"/>
    <x v="1"/>
    <n v="311.91000000000003"/>
    <s v="103 Main St"/>
    <s v="Online"/>
    <s v="Shipped"/>
    <s v="TRK13036341"/>
    <n v="2"/>
    <m/>
    <x v="3"/>
    <n v="623.82000000000005"/>
    <x v="9"/>
  </r>
  <r>
    <s v="ORD200080"/>
    <d v="2023-06-27T00:00:00"/>
    <s v="C29041"/>
    <s v="Phone"/>
    <x v="4"/>
    <n v="589.55999999999995"/>
    <s v="591 Main St"/>
    <s v="Online"/>
    <s v="Returned"/>
    <s v="TRK28840655"/>
    <n v="6"/>
    <m/>
    <x v="3"/>
    <n v="1768.68"/>
    <x v="5"/>
  </r>
  <r>
    <s v="ORD200081"/>
    <d v="2023-06-08T00:00:00"/>
    <s v="C29314"/>
    <s v="Monitor"/>
    <x v="1"/>
    <n v="394.3"/>
    <s v="496 Main St"/>
    <s v="Cash"/>
    <s v="Shipped"/>
    <s v="TRK59876213"/>
    <n v="6"/>
    <s v="FREESHIP"/>
    <x v="2"/>
    <n v="788.6"/>
    <x v="5"/>
  </r>
  <r>
    <s v="ORD200082"/>
    <d v="2024-01-05T00:00:00"/>
    <s v="C65799"/>
    <s v="Tablet"/>
    <x v="3"/>
    <n v="565.20000000000005"/>
    <s v="971 Main St"/>
    <s v="Debit Card"/>
    <s v="Shipped"/>
    <s v="TRK66906607"/>
    <n v="9"/>
    <s v="SAVE10"/>
    <x v="4"/>
    <n v="2260.8000000000002"/>
    <x v="0"/>
  </r>
  <r>
    <s v="ORD200083"/>
    <d v="2023-08-22T00:00:00"/>
    <s v="C15681"/>
    <s v="Laptop"/>
    <x v="3"/>
    <n v="540.41"/>
    <s v="989 Main St"/>
    <s v="Credit Card"/>
    <s v="Cancelled"/>
    <s v="TRK75112172"/>
    <n v="6"/>
    <m/>
    <x v="1"/>
    <n v="2161.64"/>
    <x v="1"/>
  </r>
  <r>
    <s v="ORD200084"/>
    <d v="2023-08-28T00:00:00"/>
    <s v="C64160"/>
    <s v="Monitor"/>
    <x v="1"/>
    <n v="165.49"/>
    <s v="967 Main St"/>
    <s v="Online"/>
    <s v="Shipped"/>
    <s v="TRK34121529"/>
    <n v="4"/>
    <s v="WINTER15"/>
    <x v="0"/>
    <n v="330.98"/>
    <x v="1"/>
  </r>
  <r>
    <s v="ORD200085"/>
    <d v="2024-09-09T00:00:00"/>
    <s v="C14553"/>
    <s v="Tablet"/>
    <x v="4"/>
    <n v="146.72999999999999"/>
    <s v="768 Main St"/>
    <s v="Cash"/>
    <s v="Delivered"/>
    <s v="TRK93538334"/>
    <n v="8"/>
    <s v="FREESHIP"/>
    <x v="2"/>
    <n v="440.18999999999988"/>
    <x v="11"/>
  </r>
  <r>
    <s v="ORD200086"/>
    <d v="2024-06-19T00:00:00"/>
    <s v="C88205"/>
    <s v="Printer"/>
    <x v="0"/>
    <n v="643.03"/>
    <s v="447 Main St"/>
    <s v="Online"/>
    <s v="Cancelled"/>
    <s v="TRK93504166"/>
    <n v="5"/>
    <s v="FREESHIP"/>
    <x v="1"/>
    <n v="3215.15"/>
    <x v="5"/>
  </r>
  <r>
    <s v="ORD200087"/>
    <d v="2024-10-10T00:00:00"/>
    <s v="C91245"/>
    <s v="Tablet"/>
    <x v="4"/>
    <n v="225.11"/>
    <s v="915 Main St"/>
    <s v="Cash"/>
    <s v="Shipped"/>
    <s v="TRK46976391"/>
    <n v="4"/>
    <s v="SAVE10"/>
    <x v="3"/>
    <n v="675.33"/>
    <x v="3"/>
  </r>
  <r>
    <s v="ORD200088"/>
    <d v="2025-06-05T00:00:00"/>
    <s v="C75439"/>
    <s v="Desk"/>
    <x v="4"/>
    <n v="114.81"/>
    <s v="318 Main St"/>
    <s v="Gift Card"/>
    <s v="Cancelled"/>
    <s v="TRK19831653"/>
    <n v="7"/>
    <m/>
    <x v="4"/>
    <n v="344.43"/>
    <x v="5"/>
  </r>
  <r>
    <s v="ORD200089"/>
    <d v="2025-02-25T00:00:00"/>
    <s v="C17181"/>
    <s v="Printer"/>
    <x v="0"/>
    <n v="455.33"/>
    <s v="291 Main St"/>
    <s v="Credit Card"/>
    <s v="Cancelled"/>
    <s v="TRK78912978"/>
    <n v="8"/>
    <s v="FREESHIP"/>
    <x v="4"/>
    <n v="2276.65"/>
    <x v="2"/>
  </r>
  <r>
    <s v="ORD200090"/>
    <d v="2023-09-18T00:00:00"/>
    <s v="C36540"/>
    <s v="Chair"/>
    <x v="3"/>
    <n v="182.08"/>
    <s v="611 Main St"/>
    <s v="Gift Card"/>
    <s v="Delivered"/>
    <s v="TRK35828122"/>
    <n v="4"/>
    <s v="SAVE10"/>
    <x v="2"/>
    <n v="728.32"/>
    <x v="11"/>
  </r>
  <r>
    <s v="ORD200091"/>
    <d v="2023-03-15T00:00:00"/>
    <s v="C98216"/>
    <s v="Laptop"/>
    <x v="0"/>
    <n v="492.75"/>
    <s v="196 Main St"/>
    <s v="Cash"/>
    <s v="Shipped"/>
    <s v="TRK40986666"/>
    <n v="6"/>
    <s v="WINTER15"/>
    <x v="1"/>
    <n v="2463.75"/>
    <x v="9"/>
  </r>
  <r>
    <s v="ORD200092"/>
    <d v="2024-06-10T00:00:00"/>
    <s v="C29568"/>
    <s v="Printer"/>
    <x v="3"/>
    <n v="48.61"/>
    <s v="203 Main St"/>
    <s v="Online"/>
    <s v="Shipped"/>
    <s v="TRK46531075"/>
    <n v="7"/>
    <s v="FREESHIP"/>
    <x v="3"/>
    <n v="194.44"/>
    <x v="5"/>
  </r>
  <r>
    <s v="ORD200093"/>
    <d v="2023-01-14T00:00:00"/>
    <s v="C97262"/>
    <s v="Desk"/>
    <x v="3"/>
    <n v="431.01"/>
    <s v="837 Main St"/>
    <s v="Credit Card"/>
    <s v="Returned"/>
    <s v="TRK65990229"/>
    <n v="7"/>
    <m/>
    <x v="1"/>
    <n v="1724.04"/>
    <x v="0"/>
  </r>
  <r>
    <s v="ORD200094"/>
    <d v="2023-02-11T00:00:00"/>
    <s v="C79821"/>
    <s v="Chair"/>
    <x v="2"/>
    <n v="531.17999999999995"/>
    <s v="781 Main St"/>
    <s v="Gift Card"/>
    <s v="Returned"/>
    <s v="TRK12780193"/>
    <n v="6"/>
    <s v="WINTER15"/>
    <x v="0"/>
    <n v="531.17999999999995"/>
    <x v="2"/>
  </r>
  <r>
    <s v="ORD200095"/>
    <d v="2023-03-24T00:00:00"/>
    <s v="C76761"/>
    <s v="Printer"/>
    <x v="3"/>
    <n v="117.51"/>
    <s v="839 Main St"/>
    <s v="Debit Card"/>
    <s v="Returned"/>
    <s v="TRK60179774"/>
    <n v="7"/>
    <m/>
    <x v="1"/>
    <n v="470.04"/>
    <x v="9"/>
  </r>
  <r>
    <s v="ORD200096"/>
    <d v="2024-06-01T00:00:00"/>
    <s v="C93007"/>
    <s v="Phone"/>
    <x v="1"/>
    <n v="232.83"/>
    <s v="103 Main St"/>
    <s v="Gift Card"/>
    <s v="Delivered"/>
    <s v="TRK85696091"/>
    <n v="7"/>
    <m/>
    <x v="0"/>
    <n v="465.66"/>
    <x v="5"/>
  </r>
  <r>
    <s v="ORD200097"/>
    <d v="2025-01-21T00:00:00"/>
    <s v="C15624"/>
    <s v="Tablet"/>
    <x v="0"/>
    <n v="619.52"/>
    <s v="922 Main St"/>
    <s v="Debit Card"/>
    <s v="Pending"/>
    <s v="TRK40621141"/>
    <n v="9"/>
    <m/>
    <x v="2"/>
    <n v="3097.6"/>
    <x v="0"/>
  </r>
  <r>
    <s v="ORD200098"/>
    <d v="2023-01-14T00:00:00"/>
    <s v="C70921"/>
    <s v="Printer"/>
    <x v="1"/>
    <n v="228.54"/>
    <s v="533 Main St"/>
    <s v="Debit Card"/>
    <s v="Pending"/>
    <s v="TRK54983109"/>
    <n v="3"/>
    <m/>
    <x v="2"/>
    <n v="457.08"/>
    <x v="0"/>
  </r>
  <r>
    <s v="ORD200099"/>
    <d v="2025-04-12T00:00:00"/>
    <s v="C30477"/>
    <s v="Printer"/>
    <x v="2"/>
    <n v="201.58"/>
    <s v="717 Main St"/>
    <s v="Debit Card"/>
    <s v="Cancelled"/>
    <s v="TRK51829648"/>
    <n v="2"/>
    <s v="WINTER15"/>
    <x v="2"/>
    <n v="201.58"/>
    <x v="6"/>
  </r>
  <r>
    <s v="ORD200100"/>
    <d v="2023-02-17T00:00:00"/>
    <s v="C74866"/>
    <s v="Phone"/>
    <x v="4"/>
    <n v="664.79"/>
    <s v="743 Main St"/>
    <s v="Online"/>
    <s v="Delivered"/>
    <s v="TRK53783265"/>
    <n v="6"/>
    <m/>
    <x v="3"/>
    <n v="1994.37"/>
    <x v="2"/>
  </r>
  <r>
    <s v="ORD200101"/>
    <d v="2023-11-25T00:00:00"/>
    <s v="C15283"/>
    <s v="Printer"/>
    <x v="2"/>
    <n v="381.02"/>
    <s v="152 Main St"/>
    <s v="Cash"/>
    <s v="Shipped"/>
    <s v="TRK19286291"/>
    <n v="6"/>
    <m/>
    <x v="4"/>
    <n v="381.02"/>
    <x v="7"/>
  </r>
  <r>
    <s v="ORD200102"/>
    <d v="2023-03-08T00:00:00"/>
    <s v="C18037"/>
    <s v="Laptop"/>
    <x v="1"/>
    <n v="70.34"/>
    <s v="944 Main St"/>
    <s v="Gift Card"/>
    <s v="Cancelled"/>
    <s v="TRK47362236"/>
    <n v="3"/>
    <s v="FREESHIP"/>
    <x v="2"/>
    <n v="140.68"/>
    <x v="9"/>
  </r>
  <r>
    <s v="ORD200103"/>
    <d v="2025-01-25T00:00:00"/>
    <s v="C62656"/>
    <s v="Phone"/>
    <x v="3"/>
    <n v="218.43"/>
    <s v="514 Main St"/>
    <s v="Credit Card"/>
    <s v="Cancelled"/>
    <s v="TRK86296459"/>
    <n v="9"/>
    <s v="SAVE10"/>
    <x v="2"/>
    <n v="873.72"/>
    <x v="0"/>
  </r>
  <r>
    <s v="ORD200104"/>
    <d v="2024-07-30T00:00:00"/>
    <s v="C65744"/>
    <s v="Phone"/>
    <x v="2"/>
    <n v="582.04"/>
    <s v="647 Main St"/>
    <s v="Gift Card"/>
    <s v="Delivered"/>
    <s v="TRK39906058"/>
    <n v="1"/>
    <s v="FREESHIP"/>
    <x v="2"/>
    <n v="582.04"/>
    <x v="10"/>
  </r>
  <r>
    <s v="ORD200105"/>
    <d v="2024-10-24T00:00:00"/>
    <s v="C72290"/>
    <s v="Printer"/>
    <x v="4"/>
    <n v="185.4"/>
    <s v="810 Main St"/>
    <s v="Gift Card"/>
    <s v="Cancelled"/>
    <s v="TRK68792129"/>
    <n v="7"/>
    <m/>
    <x v="3"/>
    <n v="556.20000000000005"/>
    <x v="3"/>
  </r>
  <r>
    <s v="ORD200106"/>
    <d v="2023-09-08T00:00:00"/>
    <s v="C73514"/>
    <s v="Desk"/>
    <x v="4"/>
    <n v="465.05"/>
    <s v="126 Main St"/>
    <s v="Credit Card"/>
    <s v="Cancelled"/>
    <s v="TRK96777924"/>
    <n v="3"/>
    <s v="SAVE10"/>
    <x v="2"/>
    <n v="1395.15"/>
    <x v="11"/>
  </r>
  <r>
    <s v="ORD200107"/>
    <d v="2023-03-27T00:00:00"/>
    <s v="C16775"/>
    <s v="Printer"/>
    <x v="0"/>
    <n v="670.75"/>
    <s v="848 Main St"/>
    <s v="Gift Card"/>
    <s v="Shipped"/>
    <s v="TRK34392124"/>
    <n v="8"/>
    <s v="FREESHIP"/>
    <x v="0"/>
    <n v="3353.75"/>
    <x v="9"/>
  </r>
  <r>
    <s v="ORD200108"/>
    <d v="2024-12-28T00:00:00"/>
    <s v="C33099"/>
    <s v="Laptop"/>
    <x v="0"/>
    <n v="48.38"/>
    <s v="522 Main St"/>
    <s v="Gift Card"/>
    <s v="Delivered"/>
    <s v="TRK28522330"/>
    <n v="9"/>
    <s v="WINTER15"/>
    <x v="2"/>
    <n v="241.9"/>
    <x v="8"/>
  </r>
  <r>
    <s v="ORD200109"/>
    <d v="2023-09-17T00:00:00"/>
    <s v="C51157"/>
    <s v="Desk"/>
    <x v="4"/>
    <n v="592.87"/>
    <s v="131 Main St"/>
    <s v="Gift Card"/>
    <s v="Shipped"/>
    <s v="TRK18674578"/>
    <n v="3"/>
    <s v="FREESHIP"/>
    <x v="1"/>
    <n v="1778.61"/>
    <x v="11"/>
  </r>
  <r>
    <s v="ORD200110"/>
    <d v="2024-04-21T00:00:00"/>
    <s v="C74562"/>
    <s v="Tablet"/>
    <x v="2"/>
    <n v="220.77"/>
    <s v="388 Main St"/>
    <s v="Gift Card"/>
    <s v="Pending"/>
    <s v="TRK32062079"/>
    <n v="5"/>
    <s v="FREESHIP"/>
    <x v="0"/>
    <n v="220.77"/>
    <x v="6"/>
  </r>
  <r>
    <s v="ORD200111"/>
    <d v="2025-05-07T00:00:00"/>
    <s v="C95271"/>
    <s v="Desk"/>
    <x v="4"/>
    <n v="309.22000000000003"/>
    <s v="620 Main St"/>
    <s v="Online"/>
    <s v="Cancelled"/>
    <s v="TRK74904969"/>
    <n v="7"/>
    <s v="FREESHIP"/>
    <x v="4"/>
    <n v="927.66000000000008"/>
    <x v="4"/>
  </r>
  <r>
    <s v="ORD200112"/>
    <d v="2023-01-01T00:00:00"/>
    <s v="C81366"/>
    <s v="Monitor"/>
    <x v="2"/>
    <n v="410.6"/>
    <s v="423 Main St"/>
    <s v="Online"/>
    <s v="Cancelled"/>
    <s v="TRK17062206"/>
    <n v="2"/>
    <s v="WINTER15"/>
    <x v="1"/>
    <n v="410.6"/>
    <x v="0"/>
  </r>
  <r>
    <s v="ORD200113"/>
    <d v="2024-01-17T00:00:00"/>
    <s v="C65905"/>
    <s v="Laptop"/>
    <x v="0"/>
    <n v="190.08"/>
    <s v="605 Main St"/>
    <s v="Cash"/>
    <s v="Shipped"/>
    <s v="TRK73954365"/>
    <n v="9"/>
    <s v="FREESHIP"/>
    <x v="0"/>
    <n v="950.40000000000009"/>
    <x v="0"/>
  </r>
  <r>
    <s v="ORD200114"/>
    <d v="2025-01-27T00:00:00"/>
    <s v="C77272"/>
    <s v="Monitor"/>
    <x v="0"/>
    <n v="498.48"/>
    <s v="115 Main St"/>
    <s v="Online"/>
    <s v="Pending"/>
    <s v="TRK29708128"/>
    <n v="8"/>
    <s v="SAVE10"/>
    <x v="4"/>
    <n v="2492.4"/>
    <x v="0"/>
  </r>
  <r>
    <s v="ORD200115"/>
    <d v="2023-11-27T00:00:00"/>
    <s v="C32580"/>
    <s v="Phone"/>
    <x v="0"/>
    <n v="374.99"/>
    <s v="122 Main St"/>
    <s v="Online"/>
    <s v="Shipped"/>
    <s v="TRK23670394"/>
    <n v="9"/>
    <s v="SAVE10"/>
    <x v="3"/>
    <n v="1874.95"/>
    <x v="7"/>
  </r>
  <r>
    <s v="ORD200116"/>
    <d v="2023-03-19T00:00:00"/>
    <s v="C47761"/>
    <s v="Printer"/>
    <x v="3"/>
    <n v="291.35000000000002"/>
    <s v="109 Main St"/>
    <s v="Credit Card"/>
    <s v="Cancelled"/>
    <s v="TRK66669207"/>
    <n v="6"/>
    <s v="WINTER15"/>
    <x v="3"/>
    <n v="1165.4000000000001"/>
    <x v="9"/>
  </r>
  <r>
    <s v="ORD200117"/>
    <d v="2023-03-08T00:00:00"/>
    <s v="C49187"/>
    <s v="Tablet"/>
    <x v="2"/>
    <n v="535.5"/>
    <s v="593 Main St"/>
    <s v="Gift Card"/>
    <s v="Cancelled"/>
    <s v="TRK81888598"/>
    <n v="5"/>
    <s v="WINTER15"/>
    <x v="1"/>
    <n v="535.5"/>
    <x v="9"/>
  </r>
  <r>
    <s v="ORD200118"/>
    <d v="2023-10-09T00:00:00"/>
    <s v="C27898"/>
    <s v="Printer"/>
    <x v="0"/>
    <n v="502.71"/>
    <s v="807 Main St"/>
    <s v="Gift Card"/>
    <s v="Shipped"/>
    <s v="TRK61957665"/>
    <n v="7"/>
    <s v="FREESHIP"/>
    <x v="4"/>
    <n v="2513.5500000000002"/>
    <x v="3"/>
  </r>
  <r>
    <s v="ORD200119"/>
    <d v="2025-06-11T00:00:00"/>
    <s v="C14683"/>
    <s v="Desk"/>
    <x v="1"/>
    <n v="534.66999999999996"/>
    <s v="187 Main St"/>
    <s v="Debit Card"/>
    <s v="Shipped"/>
    <s v="TRK47373682"/>
    <n v="7"/>
    <s v="FREESHIP"/>
    <x v="1"/>
    <n v="1069.3399999999999"/>
    <x v="5"/>
  </r>
  <r>
    <s v="ORD200120"/>
    <d v="2023-04-11T00:00:00"/>
    <s v="C58108"/>
    <s v="Tablet"/>
    <x v="3"/>
    <n v="629.34"/>
    <s v="986 Main St"/>
    <s v="Cash"/>
    <s v="Cancelled"/>
    <s v="TRK66218053"/>
    <n v="4"/>
    <s v="WINTER15"/>
    <x v="0"/>
    <n v="2517.36"/>
    <x v="6"/>
  </r>
  <r>
    <s v="ORD200121"/>
    <d v="2023-11-30T00:00:00"/>
    <s v="C89822"/>
    <s v="Desk"/>
    <x v="2"/>
    <n v="410.78"/>
    <s v="673 Main St"/>
    <s v="Cash"/>
    <s v="Cancelled"/>
    <s v="TRK24138598"/>
    <n v="1"/>
    <s v="FREESHIP"/>
    <x v="0"/>
    <n v="410.78"/>
    <x v="7"/>
  </r>
  <r>
    <s v="ORD200122"/>
    <d v="2024-04-15T00:00:00"/>
    <s v="C96787"/>
    <s v="Laptop"/>
    <x v="1"/>
    <n v="533.02"/>
    <s v="588 Main St"/>
    <s v="Gift Card"/>
    <s v="Shipped"/>
    <s v="TRK30422853"/>
    <n v="2"/>
    <m/>
    <x v="3"/>
    <n v="1066.04"/>
    <x v="6"/>
  </r>
  <r>
    <s v="ORD200123"/>
    <d v="2023-07-06T00:00:00"/>
    <s v="C86064"/>
    <s v="Desk"/>
    <x v="4"/>
    <n v="278.04000000000002"/>
    <s v="727 Main St"/>
    <s v="Online"/>
    <s v="Delivered"/>
    <s v="TRK62182901"/>
    <n v="5"/>
    <m/>
    <x v="0"/>
    <n v="834.12000000000012"/>
    <x v="10"/>
  </r>
  <r>
    <s v="ORD200124"/>
    <d v="2024-07-28T00:00:00"/>
    <s v="C97148"/>
    <s v="Printer"/>
    <x v="3"/>
    <n v="283.79000000000002"/>
    <s v="563 Main St"/>
    <s v="Online"/>
    <s v="Pending"/>
    <s v="TRK85321126"/>
    <n v="8"/>
    <m/>
    <x v="4"/>
    <n v="1135.1600000000001"/>
    <x v="10"/>
  </r>
  <r>
    <s v="ORD200125"/>
    <d v="2024-11-06T00:00:00"/>
    <s v="C91099"/>
    <s v="Phone"/>
    <x v="1"/>
    <n v="512.65"/>
    <s v="758 Main St"/>
    <s v="Credit Card"/>
    <s v="Shipped"/>
    <s v="TRK81846174"/>
    <n v="5"/>
    <s v="SAVE10"/>
    <x v="2"/>
    <n v="1025.3"/>
    <x v="7"/>
  </r>
  <r>
    <s v="ORD200126"/>
    <d v="2025-05-03T00:00:00"/>
    <s v="C55606"/>
    <s v="Desk"/>
    <x v="3"/>
    <n v="275.5"/>
    <s v="353 Main St"/>
    <s v="Gift Card"/>
    <s v="Shipped"/>
    <s v="TRK68250319"/>
    <n v="8"/>
    <s v="FREESHIP"/>
    <x v="4"/>
    <n v="1102"/>
    <x v="4"/>
  </r>
  <r>
    <s v="ORD200127"/>
    <d v="2023-08-10T00:00:00"/>
    <s v="C71486"/>
    <s v="Desk"/>
    <x v="4"/>
    <n v="469.32"/>
    <s v="365 Main St"/>
    <s v="Debit Card"/>
    <s v="Shipped"/>
    <s v="TRK73929833"/>
    <n v="3"/>
    <m/>
    <x v="4"/>
    <n v="1407.96"/>
    <x v="1"/>
  </r>
  <r>
    <s v="ORD200128"/>
    <d v="2023-02-17T00:00:00"/>
    <s v="C86408"/>
    <s v="Tablet"/>
    <x v="3"/>
    <n v="21.07"/>
    <s v="244 Main St"/>
    <s v="Gift Card"/>
    <s v="Delivered"/>
    <s v="TRK41432648"/>
    <n v="4"/>
    <s v="FREESHIP"/>
    <x v="4"/>
    <n v="84.28"/>
    <x v="2"/>
  </r>
  <r>
    <s v="ORD200129"/>
    <d v="2023-10-27T00:00:00"/>
    <s v="C52751"/>
    <s v="Laptop"/>
    <x v="3"/>
    <n v="263.93"/>
    <s v="427 Main St"/>
    <s v="Debit Card"/>
    <s v="Shipped"/>
    <s v="TRK72481234"/>
    <n v="4"/>
    <s v="FREESHIP"/>
    <x v="3"/>
    <n v="1055.72"/>
    <x v="3"/>
  </r>
  <r>
    <s v="ORD200130"/>
    <d v="2025-01-22T00:00:00"/>
    <s v="C29059"/>
    <s v="Desk"/>
    <x v="4"/>
    <n v="501.3"/>
    <s v="513 Main St"/>
    <s v="Online"/>
    <s v="Cancelled"/>
    <s v="TRK88360704"/>
    <n v="3"/>
    <s v="WINTER15"/>
    <x v="3"/>
    <n v="1503.9"/>
    <x v="0"/>
  </r>
  <r>
    <s v="ORD200131"/>
    <d v="2023-01-08T00:00:00"/>
    <s v="C72862"/>
    <s v="Tablet"/>
    <x v="2"/>
    <n v="84.8"/>
    <s v="606 Main St"/>
    <s v="Gift Card"/>
    <s v="Pending"/>
    <s v="TRK51648833"/>
    <n v="5"/>
    <m/>
    <x v="0"/>
    <n v="84.8"/>
    <x v="0"/>
  </r>
  <r>
    <s v="ORD200132"/>
    <d v="2023-03-28T00:00:00"/>
    <s v="C96257"/>
    <s v="Tablet"/>
    <x v="3"/>
    <n v="450.75"/>
    <s v="583 Main St"/>
    <s v="Credit Card"/>
    <s v="Shipped"/>
    <s v="TRK13137948"/>
    <n v="6"/>
    <s v="WINTER15"/>
    <x v="2"/>
    <n v="1803"/>
    <x v="9"/>
  </r>
  <r>
    <s v="ORD200133"/>
    <d v="2025-06-20T00:00:00"/>
    <s v="C87432"/>
    <s v="Chair"/>
    <x v="3"/>
    <n v="302.05"/>
    <s v="636 Main St"/>
    <s v="Debit Card"/>
    <s v="Cancelled"/>
    <s v="TRK68969625"/>
    <n v="6"/>
    <s v="SAVE10"/>
    <x v="4"/>
    <n v="1208.2"/>
    <x v="5"/>
  </r>
  <r>
    <s v="ORD200134"/>
    <d v="2025-06-23T00:00:00"/>
    <s v="C16253"/>
    <s v="Laptop"/>
    <x v="1"/>
    <n v="199.7"/>
    <s v="583 Main St"/>
    <s v="Cash"/>
    <s v="Pending"/>
    <s v="TRK17354894"/>
    <n v="4"/>
    <m/>
    <x v="2"/>
    <n v="399.4"/>
    <x v="5"/>
  </r>
  <r>
    <s v="ORD200135"/>
    <d v="2023-08-04T00:00:00"/>
    <s v="C79909"/>
    <s v="Printer"/>
    <x v="1"/>
    <n v="68.81"/>
    <s v="642 Main St"/>
    <s v="Gift Card"/>
    <s v="Shipped"/>
    <s v="TRK86742257"/>
    <n v="5"/>
    <s v="SAVE10"/>
    <x v="1"/>
    <n v="137.62"/>
    <x v="1"/>
  </r>
  <r>
    <s v="ORD200136"/>
    <d v="2024-04-27T00:00:00"/>
    <s v="C73370"/>
    <s v="Laptop"/>
    <x v="2"/>
    <n v="44.35"/>
    <s v="595 Main St"/>
    <s v="Gift Card"/>
    <s v="Cancelled"/>
    <s v="TRK67820278"/>
    <n v="1"/>
    <s v="SAVE10"/>
    <x v="0"/>
    <n v="44.35"/>
    <x v="6"/>
  </r>
  <r>
    <s v="ORD200137"/>
    <d v="2024-11-26T00:00:00"/>
    <s v="C50682"/>
    <s v="Monitor"/>
    <x v="1"/>
    <n v="250.98"/>
    <s v="598 Main St"/>
    <s v="Credit Card"/>
    <s v="Delivered"/>
    <s v="TRK12242337"/>
    <n v="5"/>
    <m/>
    <x v="4"/>
    <n v="501.96"/>
    <x v="7"/>
  </r>
  <r>
    <s v="ORD200138"/>
    <d v="2023-12-21T00:00:00"/>
    <s v="C21905"/>
    <s v="Tablet"/>
    <x v="2"/>
    <n v="298.06"/>
    <s v="478 Main St"/>
    <s v="Debit Card"/>
    <s v="Pending"/>
    <s v="TRK31863841"/>
    <n v="3"/>
    <s v="WINTER15"/>
    <x v="4"/>
    <n v="298.06"/>
    <x v="8"/>
  </r>
  <r>
    <s v="ORD200139"/>
    <d v="2023-04-10T00:00:00"/>
    <s v="C61440"/>
    <s v="Phone"/>
    <x v="2"/>
    <n v="583.9"/>
    <s v="714 Main St"/>
    <s v="Cash"/>
    <s v="Returned"/>
    <s v="TRK33114521"/>
    <n v="1"/>
    <m/>
    <x v="2"/>
    <n v="583.9"/>
    <x v="6"/>
  </r>
  <r>
    <s v="ORD200140"/>
    <d v="2025-05-31T00:00:00"/>
    <s v="C33110"/>
    <s v="Chair"/>
    <x v="4"/>
    <n v="528.14"/>
    <s v="388 Main St"/>
    <s v="Online"/>
    <s v="Delivered"/>
    <s v="TRK38624225"/>
    <n v="3"/>
    <s v="FREESHIP"/>
    <x v="2"/>
    <n v="1584.42"/>
    <x v="4"/>
  </r>
  <r>
    <s v="ORD200141"/>
    <d v="2023-11-18T00:00:00"/>
    <s v="C80004"/>
    <s v="Printer"/>
    <x v="4"/>
    <n v="684.14"/>
    <s v="151 Main St"/>
    <s v="Cash"/>
    <s v="Cancelled"/>
    <s v="TRK66230753"/>
    <n v="3"/>
    <s v="WINTER15"/>
    <x v="0"/>
    <n v="2052.42"/>
    <x v="7"/>
  </r>
  <r>
    <s v="ORD200142"/>
    <d v="2023-09-06T00:00:00"/>
    <s v="C86374"/>
    <s v="Desk"/>
    <x v="0"/>
    <n v="272.77"/>
    <s v="573 Main St"/>
    <s v="Cash"/>
    <s v="Pending"/>
    <s v="TRK79451491"/>
    <n v="7"/>
    <s v="WINTER15"/>
    <x v="2"/>
    <n v="1363.85"/>
    <x v="11"/>
  </r>
  <r>
    <s v="ORD200143"/>
    <d v="2024-06-13T00:00:00"/>
    <s v="C66521"/>
    <s v="Chair"/>
    <x v="3"/>
    <n v="400.07"/>
    <s v="933 Main St"/>
    <s v="Online"/>
    <s v="Shipped"/>
    <s v="TRK34654244"/>
    <n v="5"/>
    <m/>
    <x v="1"/>
    <n v="1600.28"/>
    <x v="5"/>
  </r>
  <r>
    <s v="ORD200144"/>
    <d v="2023-08-04T00:00:00"/>
    <s v="C63365"/>
    <s v="Desk"/>
    <x v="0"/>
    <n v="219.78"/>
    <s v="895 Main St"/>
    <s v="Credit Card"/>
    <s v="Pending"/>
    <s v="TRK80100887"/>
    <n v="8"/>
    <m/>
    <x v="3"/>
    <n v="1098.9000000000001"/>
    <x v="1"/>
  </r>
  <r>
    <s v="ORD200145"/>
    <d v="2024-03-02T00:00:00"/>
    <s v="C85929"/>
    <s v="Printer"/>
    <x v="4"/>
    <n v="146.91"/>
    <s v="798 Main St"/>
    <s v="Credit Card"/>
    <s v="Delivered"/>
    <s v="TRK29318610"/>
    <n v="6"/>
    <s v="FREESHIP"/>
    <x v="4"/>
    <n v="440.73"/>
    <x v="9"/>
  </r>
  <r>
    <s v="ORD200146"/>
    <d v="2025-04-30T00:00:00"/>
    <s v="C84645"/>
    <s v="Tablet"/>
    <x v="1"/>
    <n v="411.49"/>
    <s v="404 Main St"/>
    <s v="Credit Card"/>
    <s v="Returned"/>
    <s v="TRK68893369"/>
    <n v="4"/>
    <m/>
    <x v="0"/>
    <n v="822.98"/>
    <x v="6"/>
  </r>
  <r>
    <s v="ORD200147"/>
    <d v="2025-05-06T00:00:00"/>
    <s v="C46316"/>
    <s v="Laptop"/>
    <x v="1"/>
    <n v="465.18"/>
    <s v="893 Main St"/>
    <s v="Credit Card"/>
    <s v="Cancelled"/>
    <s v="TRK16196000"/>
    <n v="2"/>
    <s v="SAVE10"/>
    <x v="4"/>
    <n v="930.36"/>
    <x v="4"/>
  </r>
  <r>
    <s v="ORD200148"/>
    <d v="2024-12-15T00:00:00"/>
    <s v="C35100"/>
    <s v="Phone"/>
    <x v="1"/>
    <n v="319.91000000000003"/>
    <s v="139 Main St"/>
    <s v="Credit Card"/>
    <s v="Cancelled"/>
    <s v="TRK56853491"/>
    <n v="3"/>
    <s v="WINTER15"/>
    <x v="4"/>
    <n v="639.82000000000005"/>
    <x v="8"/>
  </r>
  <r>
    <s v="ORD200149"/>
    <d v="2023-12-27T00:00:00"/>
    <s v="C39671"/>
    <s v="Laptop"/>
    <x v="2"/>
    <n v="217.56"/>
    <s v="174 Main St"/>
    <s v="Debit Card"/>
    <s v="Delivered"/>
    <s v="TRK47153818"/>
    <n v="3"/>
    <m/>
    <x v="3"/>
    <n v="217.56"/>
    <x v="8"/>
  </r>
  <r>
    <s v="ORD200150"/>
    <d v="2023-12-13T00:00:00"/>
    <s v="C25503"/>
    <s v="Phone"/>
    <x v="1"/>
    <n v="105.57"/>
    <s v="981 Main St"/>
    <s v="Debit Card"/>
    <s v="Returned"/>
    <s v="TRK29878837"/>
    <n v="5"/>
    <s v="WINTER15"/>
    <x v="4"/>
    <n v="211.14"/>
    <x v="8"/>
  </r>
  <r>
    <s v="ORD200151"/>
    <d v="2023-12-01T00:00:00"/>
    <s v="C32960"/>
    <s v="Printer"/>
    <x v="0"/>
    <n v="444.76"/>
    <s v="947 Main St"/>
    <s v="Debit Card"/>
    <s v="Returned"/>
    <s v="TRK91226500"/>
    <n v="7"/>
    <m/>
    <x v="2"/>
    <n v="2223.8000000000002"/>
    <x v="8"/>
  </r>
  <r>
    <s v="ORD200152"/>
    <d v="2025-01-02T00:00:00"/>
    <s v="C77736"/>
    <s v="Chair"/>
    <x v="1"/>
    <n v="399.04"/>
    <s v="659 Main St"/>
    <s v="Cash"/>
    <s v="Cancelled"/>
    <s v="TRK90329250"/>
    <n v="3"/>
    <s v="FREESHIP"/>
    <x v="1"/>
    <n v="798.08"/>
    <x v="0"/>
  </r>
  <r>
    <s v="ORD200153"/>
    <d v="2024-12-18T00:00:00"/>
    <s v="C71570"/>
    <s v="Chair"/>
    <x v="3"/>
    <n v="534.48"/>
    <s v="437 Main St"/>
    <s v="Online"/>
    <s v="Returned"/>
    <s v="TRK95992269"/>
    <n v="9"/>
    <s v="WINTER15"/>
    <x v="0"/>
    <n v="2137.92"/>
    <x v="8"/>
  </r>
  <r>
    <s v="ORD200154"/>
    <d v="2023-07-20T00:00:00"/>
    <s v="C73587"/>
    <s v="Phone"/>
    <x v="3"/>
    <n v="408.21"/>
    <s v="727 Main St"/>
    <s v="Credit Card"/>
    <s v="Pending"/>
    <s v="TRK13955543"/>
    <n v="9"/>
    <m/>
    <x v="0"/>
    <n v="1632.84"/>
    <x v="10"/>
  </r>
  <r>
    <s v="ORD200155"/>
    <d v="2023-02-27T00:00:00"/>
    <s v="C62740"/>
    <s v="Phone"/>
    <x v="2"/>
    <n v="424.4"/>
    <s v="446 Main St"/>
    <s v="Online"/>
    <s v="Shipped"/>
    <s v="TRK20706408"/>
    <n v="6"/>
    <s v="WINTER15"/>
    <x v="1"/>
    <n v="424.4"/>
    <x v="2"/>
  </r>
  <r>
    <s v="ORD200156"/>
    <d v="2024-11-08T00:00:00"/>
    <s v="C58808"/>
    <s v="Chair"/>
    <x v="1"/>
    <n v="269.83"/>
    <s v="651 Main St"/>
    <s v="Online"/>
    <s v="Delivered"/>
    <s v="TRK24451893"/>
    <n v="4"/>
    <s v="SAVE10"/>
    <x v="2"/>
    <n v="539.66"/>
    <x v="7"/>
  </r>
  <r>
    <s v="ORD200157"/>
    <d v="2025-02-21T00:00:00"/>
    <s v="C50422"/>
    <s v="Monitor"/>
    <x v="1"/>
    <n v="564.58000000000004"/>
    <s v="636 Main St"/>
    <s v="Online"/>
    <s v="Returned"/>
    <s v="TRK71227815"/>
    <n v="4"/>
    <s v="WINTER15"/>
    <x v="3"/>
    <n v="1129.1600000000001"/>
    <x v="2"/>
  </r>
  <r>
    <s v="ORD200158"/>
    <d v="2024-05-16T00:00:00"/>
    <s v="C23334"/>
    <s v="Tablet"/>
    <x v="2"/>
    <n v="331.06"/>
    <s v="737 Main St"/>
    <s v="Credit Card"/>
    <s v="Pending"/>
    <s v="TRK46335144"/>
    <n v="5"/>
    <s v="WINTER15"/>
    <x v="0"/>
    <n v="331.06"/>
    <x v="4"/>
  </r>
  <r>
    <s v="ORD200159"/>
    <d v="2023-10-31T00:00:00"/>
    <s v="C48965"/>
    <s v="Printer"/>
    <x v="2"/>
    <n v="299.35000000000002"/>
    <s v="819 Main St"/>
    <s v="Credit Card"/>
    <s v="Cancelled"/>
    <s v="TRK50921780"/>
    <n v="5"/>
    <s v="WINTER15"/>
    <x v="2"/>
    <n v="299.35000000000002"/>
    <x v="3"/>
  </r>
  <r>
    <s v="ORD200160"/>
    <d v="2023-02-17T00:00:00"/>
    <s v="C38669"/>
    <s v="Monitor"/>
    <x v="3"/>
    <n v="101.32"/>
    <s v="240 Main St"/>
    <s v="Cash"/>
    <s v="Pending"/>
    <s v="TRK81738254"/>
    <n v="7"/>
    <m/>
    <x v="1"/>
    <n v="405.28"/>
    <x v="2"/>
  </r>
  <r>
    <s v="ORD200161"/>
    <d v="2024-03-29T00:00:00"/>
    <s v="C35091"/>
    <s v="Monitor"/>
    <x v="2"/>
    <n v="211.14"/>
    <s v="513 Main St"/>
    <s v="Credit Card"/>
    <s v="Cancelled"/>
    <s v="TRK53784452"/>
    <n v="1"/>
    <s v="SAVE10"/>
    <x v="3"/>
    <n v="211.14"/>
    <x v="9"/>
  </r>
  <r>
    <s v="ORD200162"/>
    <d v="2023-07-27T00:00:00"/>
    <s v="C82313"/>
    <s v="Chair"/>
    <x v="4"/>
    <n v="65.86"/>
    <s v="917 Main St"/>
    <s v="Online"/>
    <s v="Pending"/>
    <s v="TRK79854624"/>
    <n v="8"/>
    <s v="WINTER15"/>
    <x v="4"/>
    <n v="197.58"/>
    <x v="10"/>
  </r>
  <r>
    <s v="ORD200163"/>
    <d v="2025-06-24T00:00:00"/>
    <s v="C99589"/>
    <s v="Tablet"/>
    <x v="2"/>
    <n v="641.39"/>
    <s v="277 Main St"/>
    <s v="Online"/>
    <s v="Cancelled"/>
    <s v="TRK16695001"/>
    <n v="1"/>
    <m/>
    <x v="1"/>
    <n v="641.39"/>
    <x v="5"/>
  </r>
  <r>
    <s v="ORD200164"/>
    <d v="2023-12-28T00:00:00"/>
    <s v="C70566"/>
    <s v="Desk"/>
    <x v="0"/>
    <n v="536.58000000000004"/>
    <s v="667 Main St"/>
    <s v="Gift Card"/>
    <s v="Pending"/>
    <s v="TRK49673411"/>
    <n v="5"/>
    <s v="SAVE10"/>
    <x v="4"/>
    <n v="2682.9"/>
    <x v="8"/>
  </r>
  <r>
    <s v="ORD200165"/>
    <d v="2024-09-14T00:00:00"/>
    <s v="C60355"/>
    <s v="Monitor"/>
    <x v="1"/>
    <n v="500.29"/>
    <s v="226 Main St"/>
    <s v="Online"/>
    <s v="Returned"/>
    <s v="TRK30155194"/>
    <n v="7"/>
    <s v="WINTER15"/>
    <x v="4"/>
    <n v="1000.58"/>
    <x v="11"/>
  </r>
  <r>
    <s v="ORD200166"/>
    <d v="2025-03-04T00:00:00"/>
    <s v="C28889"/>
    <s v="Chair"/>
    <x v="4"/>
    <n v="86.29"/>
    <s v="565 Main St"/>
    <s v="Cash"/>
    <s v="Delivered"/>
    <s v="TRK23791726"/>
    <n v="6"/>
    <s v="WINTER15"/>
    <x v="0"/>
    <n v="258.87"/>
    <x v="9"/>
  </r>
  <r>
    <s v="ORD200167"/>
    <d v="2023-05-27T00:00:00"/>
    <s v="C88304"/>
    <s v="Chair"/>
    <x v="1"/>
    <n v="384.14"/>
    <s v="219 Main St"/>
    <s v="Online"/>
    <s v="Returned"/>
    <s v="TRK44268941"/>
    <n v="2"/>
    <s v="WINTER15"/>
    <x v="2"/>
    <n v="768.28"/>
    <x v="4"/>
  </r>
  <r>
    <s v="ORD200168"/>
    <d v="2025-01-04T00:00:00"/>
    <s v="C49517"/>
    <s v="Printer"/>
    <x v="2"/>
    <n v="594.96"/>
    <s v="878 Main St"/>
    <s v="Cash"/>
    <s v="Returned"/>
    <s v="TRK78551375"/>
    <n v="6"/>
    <m/>
    <x v="3"/>
    <n v="594.96"/>
    <x v="0"/>
  </r>
  <r>
    <s v="ORD200169"/>
    <d v="2024-04-07T00:00:00"/>
    <s v="C35785"/>
    <s v="Printer"/>
    <x v="2"/>
    <n v="427.82"/>
    <s v="732 Main St"/>
    <s v="Online"/>
    <s v="Delivered"/>
    <s v="TRK78923089"/>
    <n v="2"/>
    <s v="WINTER15"/>
    <x v="2"/>
    <n v="427.82"/>
    <x v="6"/>
  </r>
  <r>
    <s v="ORD200170"/>
    <d v="2025-04-04T00:00:00"/>
    <s v="C80223"/>
    <s v="Desk"/>
    <x v="3"/>
    <n v="662.94"/>
    <s v="535 Main St"/>
    <s v="Cash"/>
    <s v="Cancelled"/>
    <s v="TRK68632951"/>
    <n v="8"/>
    <s v="SAVE10"/>
    <x v="0"/>
    <n v="2651.76"/>
    <x v="6"/>
  </r>
  <r>
    <s v="ORD200171"/>
    <d v="2023-08-15T00:00:00"/>
    <s v="C20448"/>
    <s v="Tablet"/>
    <x v="1"/>
    <n v="148.22"/>
    <s v="336 Main St"/>
    <s v="Credit Card"/>
    <s v="Delivered"/>
    <s v="TRK67379895"/>
    <n v="7"/>
    <s v="WINTER15"/>
    <x v="0"/>
    <n v="296.44"/>
    <x v="1"/>
  </r>
  <r>
    <s v="ORD200172"/>
    <d v="2025-04-06T00:00:00"/>
    <s v="C34134"/>
    <s v="Printer"/>
    <x v="2"/>
    <n v="254.12"/>
    <s v="365 Main St"/>
    <s v="Online"/>
    <s v="Delivered"/>
    <s v="TRK43074303"/>
    <n v="1"/>
    <s v="WINTER15"/>
    <x v="2"/>
    <n v="254.12"/>
    <x v="6"/>
  </r>
  <r>
    <s v="ORD200173"/>
    <d v="2024-03-24T00:00:00"/>
    <s v="C95901"/>
    <s v="Phone"/>
    <x v="4"/>
    <n v="664.46"/>
    <s v="806 Main St"/>
    <s v="Online"/>
    <s v="Delivered"/>
    <s v="TRK56989066"/>
    <n v="4"/>
    <s v="FREESHIP"/>
    <x v="4"/>
    <n v="1993.38"/>
    <x v="9"/>
  </r>
  <r>
    <s v="ORD200174"/>
    <d v="2024-04-16T00:00:00"/>
    <s v="C51145"/>
    <s v="Printer"/>
    <x v="3"/>
    <n v="600.80999999999995"/>
    <s v="790 Main St"/>
    <s v="Debit Card"/>
    <s v="Delivered"/>
    <s v="TRK59154274"/>
    <n v="9"/>
    <s v="SAVE10"/>
    <x v="2"/>
    <n v="2403.2399999999998"/>
    <x v="6"/>
  </r>
  <r>
    <s v="ORD200175"/>
    <d v="2025-02-08T00:00:00"/>
    <s v="C78170"/>
    <s v="Chair"/>
    <x v="0"/>
    <n v="68.34"/>
    <s v="332 Main St"/>
    <s v="Debit Card"/>
    <s v="Pending"/>
    <s v="TRK71410605"/>
    <n v="6"/>
    <s v="WINTER15"/>
    <x v="1"/>
    <n v="341.7"/>
    <x v="2"/>
  </r>
  <r>
    <s v="ORD200176"/>
    <d v="2025-06-28T00:00:00"/>
    <s v="C80151"/>
    <s v="Tablet"/>
    <x v="3"/>
    <n v="430.83"/>
    <s v="553 Main St"/>
    <s v="Gift Card"/>
    <s v="Pending"/>
    <s v="TRK88251529"/>
    <n v="8"/>
    <s v="WINTER15"/>
    <x v="1"/>
    <n v="1723.32"/>
    <x v="5"/>
  </r>
  <r>
    <s v="ORD200177"/>
    <d v="2023-08-05T00:00:00"/>
    <s v="C55632"/>
    <s v="Chair"/>
    <x v="0"/>
    <n v="431.69"/>
    <s v="354 Main St"/>
    <s v="Credit Card"/>
    <s v="Pending"/>
    <s v="TRK13003066"/>
    <n v="10"/>
    <m/>
    <x v="3"/>
    <n v="2158.4499999999998"/>
    <x v="1"/>
  </r>
  <r>
    <s v="ORD200178"/>
    <d v="2024-04-11T00:00:00"/>
    <s v="C53070"/>
    <s v="Chair"/>
    <x v="3"/>
    <n v="512.05999999999995"/>
    <s v="283 Main St"/>
    <s v="Online"/>
    <s v="Delivered"/>
    <s v="TRK49791755"/>
    <n v="5"/>
    <s v="SAVE10"/>
    <x v="4"/>
    <n v="2048.2399999999998"/>
    <x v="6"/>
  </r>
  <r>
    <s v="ORD200179"/>
    <d v="2024-11-24T00:00:00"/>
    <s v="C27401"/>
    <s v="Laptop"/>
    <x v="4"/>
    <n v="539.91"/>
    <s v="500 Main St"/>
    <s v="Credit Card"/>
    <s v="Delivered"/>
    <s v="TRK14332053"/>
    <n v="8"/>
    <m/>
    <x v="2"/>
    <n v="1619.73"/>
    <x v="7"/>
  </r>
  <r>
    <s v="ORD200180"/>
    <d v="2023-03-18T00:00:00"/>
    <s v="C87216"/>
    <s v="Tablet"/>
    <x v="0"/>
    <n v="316.07"/>
    <s v="970 Main St"/>
    <s v="Cash"/>
    <s v="Returned"/>
    <s v="TRK18713727"/>
    <n v="10"/>
    <m/>
    <x v="4"/>
    <n v="1580.35"/>
    <x v="9"/>
  </r>
  <r>
    <s v="ORD200181"/>
    <d v="2024-08-31T00:00:00"/>
    <s v="C38966"/>
    <s v="Printer"/>
    <x v="0"/>
    <n v="404.39"/>
    <s v="247 Main St"/>
    <s v="Online"/>
    <s v="Shipped"/>
    <s v="TRK17205146"/>
    <n v="10"/>
    <m/>
    <x v="1"/>
    <n v="2021.95"/>
    <x v="1"/>
  </r>
  <r>
    <s v="ORD200182"/>
    <d v="2025-03-19T00:00:00"/>
    <s v="C16612"/>
    <s v="Desk"/>
    <x v="2"/>
    <n v="600.54"/>
    <s v="596 Main St"/>
    <s v="Debit Card"/>
    <s v="Pending"/>
    <s v="TRK96188223"/>
    <n v="4"/>
    <s v="WINTER15"/>
    <x v="4"/>
    <n v="600.54"/>
    <x v="9"/>
  </r>
  <r>
    <s v="ORD200183"/>
    <d v="2024-04-18T00:00:00"/>
    <s v="C39246"/>
    <s v="Monitor"/>
    <x v="0"/>
    <n v="186.28"/>
    <s v="258 Main St"/>
    <s v="Debit Card"/>
    <s v="Delivered"/>
    <s v="TRK16658182"/>
    <n v="8"/>
    <s v="SAVE10"/>
    <x v="2"/>
    <n v="931.4"/>
    <x v="6"/>
  </r>
  <r>
    <s v="ORD200184"/>
    <d v="2024-04-04T00:00:00"/>
    <s v="C65180"/>
    <s v="Tablet"/>
    <x v="3"/>
    <n v="214.54"/>
    <s v="231 Main St"/>
    <s v="Gift Card"/>
    <s v="Cancelled"/>
    <s v="TRK39255469"/>
    <n v="7"/>
    <m/>
    <x v="1"/>
    <n v="858.16"/>
    <x v="6"/>
  </r>
  <r>
    <s v="ORD200185"/>
    <d v="2025-02-02T00:00:00"/>
    <s v="C46877"/>
    <s v="Laptop"/>
    <x v="2"/>
    <n v="210.7"/>
    <s v="572 Main St"/>
    <s v="Online"/>
    <s v="Shipped"/>
    <s v="TRK96935978"/>
    <n v="2"/>
    <s v="WINTER15"/>
    <x v="1"/>
    <n v="210.7"/>
    <x v="2"/>
  </r>
  <r>
    <s v="ORD200186"/>
    <d v="2023-12-07T00:00:00"/>
    <s v="C30334"/>
    <s v="Phone"/>
    <x v="1"/>
    <n v="133.55000000000001"/>
    <s v="322 Main St"/>
    <s v="Cash"/>
    <s v="Pending"/>
    <s v="TRK66388885"/>
    <n v="7"/>
    <s v="FREESHIP"/>
    <x v="3"/>
    <n v="267.10000000000002"/>
    <x v="8"/>
  </r>
  <r>
    <s v="ORD200187"/>
    <d v="2023-02-08T00:00:00"/>
    <s v="C21227"/>
    <s v="Chair"/>
    <x v="2"/>
    <n v="590.87"/>
    <s v="689 Main St"/>
    <s v="Gift Card"/>
    <s v="Returned"/>
    <s v="TRK79129657"/>
    <n v="6"/>
    <s v="FREESHIP"/>
    <x v="1"/>
    <n v="590.87"/>
    <x v="2"/>
  </r>
  <r>
    <s v="ORD200188"/>
    <d v="2025-03-15T00:00:00"/>
    <s v="C97715"/>
    <s v="Chair"/>
    <x v="1"/>
    <n v="363.91"/>
    <s v="927 Main St"/>
    <s v="Gift Card"/>
    <s v="Shipped"/>
    <s v="TRK19515949"/>
    <n v="2"/>
    <s v="FREESHIP"/>
    <x v="1"/>
    <n v="727.82"/>
    <x v="9"/>
  </r>
  <r>
    <s v="ORD200189"/>
    <d v="2023-07-05T00:00:00"/>
    <s v="C48939"/>
    <s v="Printer"/>
    <x v="0"/>
    <n v="429.45"/>
    <s v="597 Main St"/>
    <s v="Gift Card"/>
    <s v="Cancelled"/>
    <s v="TRK62786764"/>
    <n v="5"/>
    <s v="WINTER15"/>
    <x v="2"/>
    <n v="2147.25"/>
    <x v="10"/>
  </r>
  <r>
    <s v="ORD200190"/>
    <d v="2024-08-31T00:00:00"/>
    <s v="C35483"/>
    <s v="Printer"/>
    <x v="4"/>
    <n v="223.7"/>
    <s v="725 Main St"/>
    <s v="Cash"/>
    <s v="Returned"/>
    <s v="TRK79638203"/>
    <n v="3"/>
    <s v="SAVE10"/>
    <x v="2"/>
    <n v="671.09999999999991"/>
    <x v="1"/>
  </r>
  <r>
    <s v="ORD200191"/>
    <d v="2025-03-08T00:00:00"/>
    <s v="C51494"/>
    <s v="Laptop"/>
    <x v="1"/>
    <n v="488.87"/>
    <s v="505 Main St"/>
    <s v="Online"/>
    <s v="Cancelled"/>
    <s v="TRK58520306"/>
    <n v="4"/>
    <s v="FREESHIP"/>
    <x v="4"/>
    <n v="977.74"/>
    <x v="9"/>
  </r>
  <r>
    <s v="ORD200192"/>
    <d v="2023-08-11T00:00:00"/>
    <s v="C58410"/>
    <s v="Desk"/>
    <x v="2"/>
    <n v="645.46"/>
    <s v="151 Main St"/>
    <s v="Gift Card"/>
    <s v="Cancelled"/>
    <s v="TRK19749672"/>
    <n v="5"/>
    <s v="SAVE10"/>
    <x v="4"/>
    <n v="645.46"/>
    <x v="1"/>
  </r>
  <r>
    <s v="ORD200193"/>
    <d v="2023-07-21T00:00:00"/>
    <s v="C11644"/>
    <s v="Printer"/>
    <x v="2"/>
    <n v="46.66"/>
    <s v="429 Main St"/>
    <s v="Cash"/>
    <s v="Cancelled"/>
    <s v="TRK81320339"/>
    <n v="6"/>
    <m/>
    <x v="4"/>
    <n v="46.66"/>
    <x v="10"/>
  </r>
  <r>
    <s v="ORD200194"/>
    <d v="2024-06-08T00:00:00"/>
    <s v="C53501"/>
    <s v="Monitor"/>
    <x v="2"/>
    <n v="249.57"/>
    <s v="899 Main St"/>
    <s v="Cash"/>
    <s v="Shipped"/>
    <s v="TRK90144892"/>
    <n v="3"/>
    <s v="FREESHIP"/>
    <x v="4"/>
    <n v="249.57"/>
    <x v="5"/>
  </r>
  <r>
    <s v="ORD200195"/>
    <d v="2024-04-22T00:00:00"/>
    <s v="C63619"/>
    <s v="Chair"/>
    <x v="4"/>
    <n v="619.21"/>
    <s v="801 Main St"/>
    <s v="Debit Card"/>
    <s v="Cancelled"/>
    <s v="TRK65385674"/>
    <n v="6"/>
    <m/>
    <x v="2"/>
    <n v="1857.63"/>
    <x v="6"/>
  </r>
  <r>
    <s v="ORD200196"/>
    <d v="2025-01-24T00:00:00"/>
    <s v="C40882"/>
    <s v="Desk"/>
    <x v="3"/>
    <n v="217.13"/>
    <s v="719 Main St"/>
    <s v="Cash"/>
    <s v="Delivered"/>
    <s v="TRK64165503"/>
    <n v="8"/>
    <s v="WINTER15"/>
    <x v="2"/>
    <n v="868.52"/>
    <x v="0"/>
  </r>
  <r>
    <s v="ORD200197"/>
    <d v="2023-08-27T00:00:00"/>
    <s v="C80135"/>
    <s v="Laptop"/>
    <x v="0"/>
    <n v="221.51"/>
    <s v="723 Main St"/>
    <s v="Cash"/>
    <s v="Returned"/>
    <s v="TRK95222269"/>
    <n v="5"/>
    <s v="WINTER15"/>
    <x v="1"/>
    <n v="1107.55"/>
    <x v="1"/>
  </r>
  <r>
    <s v="ORD200198"/>
    <d v="2024-06-11T00:00:00"/>
    <s v="C37594"/>
    <s v="Laptop"/>
    <x v="3"/>
    <n v="340.3"/>
    <s v="926 Main St"/>
    <s v="Cash"/>
    <s v="Cancelled"/>
    <s v="TRK94405162"/>
    <n v="8"/>
    <s v="SAVE10"/>
    <x v="1"/>
    <n v="1361.2"/>
    <x v="5"/>
  </r>
  <r>
    <s v="ORD200199"/>
    <d v="2025-01-23T00:00:00"/>
    <s v="C87524"/>
    <s v="Phone"/>
    <x v="2"/>
    <n v="625"/>
    <s v="358 Main St"/>
    <s v="Online"/>
    <s v="Returned"/>
    <s v="TRK21114341"/>
    <n v="5"/>
    <s v="WINTER15"/>
    <x v="4"/>
    <n v="625"/>
    <x v="0"/>
  </r>
  <r>
    <s v="ORD200200"/>
    <d v="2025-06-07T00:00:00"/>
    <s v="C97681"/>
    <s v="Tablet"/>
    <x v="0"/>
    <n v="433.26"/>
    <s v="895 Main St"/>
    <s v="Credit Card"/>
    <s v="Delivered"/>
    <s v="TRK37531040"/>
    <n v="9"/>
    <s v="SAVE10"/>
    <x v="4"/>
    <n v="2166.3000000000002"/>
    <x v="5"/>
  </r>
  <r>
    <s v="ORD200201"/>
    <d v="2023-06-18T00:00:00"/>
    <s v="C10126"/>
    <s v="Monitor"/>
    <x v="1"/>
    <n v="674.9"/>
    <s v="146 Main St"/>
    <s v="Online"/>
    <s v="Shipped"/>
    <s v="TRK75607531"/>
    <n v="4"/>
    <s v="SAVE10"/>
    <x v="3"/>
    <n v="1349.8"/>
    <x v="5"/>
  </r>
  <r>
    <s v="ORD200202"/>
    <d v="2025-02-06T00:00:00"/>
    <s v="C36938"/>
    <s v="Monitor"/>
    <x v="4"/>
    <n v="253.98"/>
    <s v="636 Main St"/>
    <s v="Credit Card"/>
    <s v="Cancelled"/>
    <s v="TRK52522904"/>
    <n v="3"/>
    <s v="FREESHIP"/>
    <x v="2"/>
    <n v="761.93999999999994"/>
    <x v="2"/>
  </r>
  <r>
    <s v="ORD200203"/>
    <d v="2025-01-21T00:00:00"/>
    <s v="C99173"/>
    <s v="Printer"/>
    <x v="4"/>
    <n v="356.84"/>
    <s v="172 Main St"/>
    <s v="Online"/>
    <s v="Shipped"/>
    <s v="TRK89849342"/>
    <n v="5"/>
    <s v="SAVE10"/>
    <x v="0"/>
    <n v="1070.52"/>
    <x v="0"/>
  </r>
  <r>
    <s v="ORD200204"/>
    <d v="2023-09-05T00:00:00"/>
    <s v="C99775"/>
    <s v="Laptop"/>
    <x v="3"/>
    <n v="413.71"/>
    <s v="478 Main St"/>
    <s v="Gift Card"/>
    <s v="Cancelled"/>
    <s v="TRK21638425"/>
    <n v="9"/>
    <s v="FREESHIP"/>
    <x v="3"/>
    <n v="1654.84"/>
    <x v="11"/>
  </r>
  <r>
    <s v="ORD200205"/>
    <d v="2023-03-04T00:00:00"/>
    <s v="C19266"/>
    <s v="Desk"/>
    <x v="4"/>
    <n v="147.38999999999999"/>
    <s v="609 Main St"/>
    <s v="Debit Card"/>
    <s v="Returned"/>
    <s v="TRK58357269"/>
    <n v="3"/>
    <m/>
    <x v="2"/>
    <n v="442.17"/>
    <x v="9"/>
  </r>
  <r>
    <s v="ORD200206"/>
    <d v="2024-04-16T00:00:00"/>
    <s v="C31072"/>
    <s v="Laptop"/>
    <x v="3"/>
    <n v="229.1"/>
    <s v="729 Main St"/>
    <s v="Gift Card"/>
    <s v="Returned"/>
    <s v="TRK77172975"/>
    <n v="8"/>
    <s v="WINTER15"/>
    <x v="2"/>
    <n v="916.4"/>
    <x v="6"/>
  </r>
  <r>
    <s v="ORD200207"/>
    <d v="2025-03-18T00:00:00"/>
    <s v="C54595"/>
    <s v="Phone"/>
    <x v="2"/>
    <n v="121.96"/>
    <s v="999 Main St"/>
    <s v="Debit Card"/>
    <s v="Delivered"/>
    <s v="TRK44416659"/>
    <n v="3"/>
    <m/>
    <x v="4"/>
    <n v="121.96"/>
    <x v="9"/>
  </r>
  <r>
    <s v="ORD200208"/>
    <d v="2024-10-08T00:00:00"/>
    <s v="C87777"/>
    <s v="Desk"/>
    <x v="1"/>
    <n v="408.32"/>
    <s v="597 Main St"/>
    <s v="Online"/>
    <s v="Shipped"/>
    <s v="TRK29003608"/>
    <n v="3"/>
    <s v="FREESHIP"/>
    <x v="3"/>
    <n v="816.64"/>
    <x v="3"/>
  </r>
  <r>
    <s v="ORD200209"/>
    <d v="2023-08-29T00:00:00"/>
    <s v="C35854"/>
    <s v="Tablet"/>
    <x v="0"/>
    <n v="187.97"/>
    <s v="706 Main St"/>
    <s v="Cash"/>
    <s v="Returned"/>
    <s v="TRK30615168"/>
    <n v="9"/>
    <s v="SAVE10"/>
    <x v="4"/>
    <n v="939.85"/>
    <x v="1"/>
  </r>
  <r>
    <s v="ORD200210"/>
    <d v="2024-12-05T00:00:00"/>
    <s v="C93821"/>
    <s v="Chair"/>
    <x v="4"/>
    <n v="358.48"/>
    <s v="513 Main St"/>
    <s v="Gift Card"/>
    <s v="Delivered"/>
    <s v="TRK10658539"/>
    <n v="7"/>
    <s v="FREESHIP"/>
    <x v="3"/>
    <n v="1075.44"/>
    <x v="8"/>
  </r>
  <r>
    <s v="ORD200211"/>
    <d v="2025-01-03T00:00:00"/>
    <s v="C54390"/>
    <s v="Printer"/>
    <x v="4"/>
    <n v="193.58"/>
    <s v="185 Main St"/>
    <s v="Gift Card"/>
    <s v="Pending"/>
    <s v="TRK83853742"/>
    <n v="7"/>
    <s v="FREESHIP"/>
    <x v="2"/>
    <n v="580.74"/>
    <x v="0"/>
  </r>
  <r>
    <s v="ORD200212"/>
    <d v="2023-06-20T00:00:00"/>
    <s v="C53215"/>
    <s v="Monitor"/>
    <x v="2"/>
    <n v="265.38"/>
    <s v="367 Main St"/>
    <s v="Credit Card"/>
    <s v="Cancelled"/>
    <s v="TRK34751835"/>
    <n v="6"/>
    <s v="WINTER15"/>
    <x v="2"/>
    <n v="265.38"/>
    <x v="5"/>
  </r>
  <r>
    <s v="ORD200213"/>
    <d v="2023-04-20T00:00:00"/>
    <s v="C71122"/>
    <s v="Laptop"/>
    <x v="2"/>
    <n v="634.4"/>
    <s v="317 Main St"/>
    <s v="Cash"/>
    <s v="Cancelled"/>
    <s v="TRK54757882"/>
    <n v="6"/>
    <s v="SAVE10"/>
    <x v="2"/>
    <n v="634.4"/>
    <x v="6"/>
  </r>
  <r>
    <s v="ORD200214"/>
    <d v="2024-08-21T00:00:00"/>
    <s v="C29483"/>
    <s v="Desk"/>
    <x v="3"/>
    <n v="305.72000000000003"/>
    <s v="673 Main St"/>
    <s v="Online"/>
    <s v="Delivered"/>
    <s v="TRK89423603"/>
    <n v="5"/>
    <m/>
    <x v="3"/>
    <n v="1222.8800000000001"/>
    <x v="1"/>
  </r>
  <r>
    <s v="ORD200215"/>
    <d v="2023-08-10T00:00:00"/>
    <s v="C26767"/>
    <s v="Printer"/>
    <x v="2"/>
    <n v="303.60000000000002"/>
    <s v="432 Main St"/>
    <s v="Cash"/>
    <s v="Shipped"/>
    <s v="TRK24585307"/>
    <n v="5"/>
    <s v="FREESHIP"/>
    <x v="3"/>
    <n v="303.60000000000002"/>
    <x v="1"/>
  </r>
  <r>
    <s v="ORD200216"/>
    <d v="2025-04-15T00:00:00"/>
    <s v="C70492"/>
    <s v="Monitor"/>
    <x v="3"/>
    <n v="496"/>
    <s v="811 Main St"/>
    <s v="Online"/>
    <s v="Cancelled"/>
    <s v="TRK84625405"/>
    <n v="8"/>
    <s v="WINTER15"/>
    <x v="4"/>
    <n v="1984"/>
    <x v="6"/>
  </r>
  <r>
    <s v="ORD200217"/>
    <d v="2024-05-20T00:00:00"/>
    <s v="C61549"/>
    <s v="Desk"/>
    <x v="3"/>
    <n v="321.51"/>
    <s v="908 Main St"/>
    <s v="Cash"/>
    <s v="Returned"/>
    <s v="TRK65596914"/>
    <n v="9"/>
    <m/>
    <x v="4"/>
    <n v="1286.04"/>
    <x v="4"/>
  </r>
  <r>
    <s v="ORD200218"/>
    <d v="2023-04-28T00:00:00"/>
    <s v="C11665"/>
    <s v="Tablet"/>
    <x v="4"/>
    <n v="112.46"/>
    <s v="882 Main St"/>
    <s v="Gift Card"/>
    <s v="Shipped"/>
    <s v="TRK10993930"/>
    <n v="6"/>
    <s v="SAVE10"/>
    <x v="0"/>
    <n v="337.38"/>
    <x v="6"/>
  </r>
  <r>
    <s v="ORD200219"/>
    <d v="2025-05-02T00:00:00"/>
    <s v="C48946"/>
    <s v="Laptop"/>
    <x v="0"/>
    <n v="61.97"/>
    <s v="457 Main St"/>
    <s v="Cash"/>
    <s v="Delivered"/>
    <s v="TRK99387220"/>
    <n v="6"/>
    <s v="SAVE10"/>
    <x v="2"/>
    <n v="309.85000000000002"/>
    <x v="4"/>
  </r>
  <r>
    <s v="ORD200220"/>
    <d v="2023-07-18T00:00:00"/>
    <s v="C79506"/>
    <s v="Laptop"/>
    <x v="1"/>
    <n v="373.17"/>
    <s v="497 Main St"/>
    <s v="Credit Card"/>
    <s v="Pending"/>
    <s v="TRK95188748"/>
    <n v="6"/>
    <s v="SAVE10"/>
    <x v="1"/>
    <n v="746.34"/>
    <x v="10"/>
  </r>
  <r>
    <s v="ORD200221"/>
    <d v="2024-02-23T00:00:00"/>
    <s v="C93473"/>
    <s v="Tablet"/>
    <x v="0"/>
    <n v="639.37"/>
    <s v="552 Main St"/>
    <s v="Debit Card"/>
    <s v="Pending"/>
    <s v="TRK50003989"/>
    <n v="6"/>
    <s v="SAVE10"/>
    <x v="4"/>
    <n v="3196.85"/>
    <x v="2"/>
  </r>
  <r>
    <s v="ORD200222"/>
    <d v="2023-05-04T00:00:00"/>
    <s v="C43124"/>
    <s v="Chair"/>
    <x v="3"/>
    <n v="693.36"/>
    <s v="931 Main St"/>
    <s v="Online"/>
    <s v="Shipped"/>
    <s v="TRK17293348"/>
    <n v="8"/>
    <m/>
    <x v="0"/>
    <n v="2773.44"/>
    <x v="4"/>
  </r>
  <r>
    <s v="ORD200223"/>
    <d v="2024-09-11T00:00:00"/>
    <s v="C22783"/>
    <s v="Phone"/>
    <x v="3"/>
    <n v="692.91"/>
    <s v="673 Main St"/>
    <s v="Credit Card"/>
    <s v="Pending"/>
    <s v="TRK55009149"/>
    <n v="9"/>
    <s v="SAVE10"/>
    <x v="0"/>
    <n v="2771.64"/>
    <x v="11"/>
  </r>
  <r>
    <s v="ORD200224"/>
    <d v="2023-09-23T00:00:00"/>
    <s v="C18567"/>
    <s v="Printer"/>
    <x v="3"/>
    <n v="91.46"/>
    <s v="507 Main St"/>
    <s v="Cash"/>
    <s v="Cancelled"/>
    <s v="TRK17554673"/>
    <n v="9"/>
    <s v="SAVE10"/>
    <x v="1"/>
    <n v="365.84"/>
    <x v="11"/>
  </r>
  <r>
    <s v="ORD200225"/>
    <d v="2024-03-13T00:00:00"/>
    <s v="C99879"/>
    <s v="Phone"/>
    <x v="4"/>
    <n v="273.95999999999998"/>
    <s v="692 Main St"/>
    <s v="Debit Card"/>
    <s v="Returned"/>
    <s v="TRK50246700"/>
    <n v="8"/>
    <s v="SAVE10"/>
    <x v="4"/>
    <n v="821.87999999999988"/>
    <x v="9"/>
  </r>
  <r>
    <s v="ORD200226"/>
    <d v="2025-06-27T00:00:00"/>
    <s v="C31501"/>
    <s v="Desk"/>
    <x v="4"/>
    <n v="588.04999999999995"/>
    <s v="242 Main St"/>
    <s v="Gift Card"/>
    <s v="Delivered"/>
    <s v="TRK93063929"/>
    <n v="8"/>
    <m/>
    <x v="0"/>
    <n v="1764.15"/>
    <x v="5"/>
  </r>
  <r>
    <s v="ORD200227"/>
    <d v="2023-11-02T00:00:00"/>
    <s v="C93220"/>
    <s v="Monitor"/>
    <x v="1"/>
    <n v="365.17"/>
    <s v="353 Main St"/>
    <s v="Online"/>
    <s v="Cancelled"/>
    <s v="TRK89023251"/>
    <n v="4"/>
    <s v="FREESHIP"/>
    <x v="3"/>
    <n v="730.34"/>
    <x v="7"/>
  </r>
  <r>
    <s v="ORD200228"/>
    <d v="2023-05-17T00:00:00"/>
    <s v="C57867"/>
    <s v="Chair"/>
    <x v="3"/>
    <n v="385.92"/>
    <s v="579 Main St"/>
    <s v="Credit Card"/>
    <s v="Cancelled"/>
    <s v="TRK92055007"/>
    <n v="8"/>
    <m/>
    <x v="0"/>
    <n v="1543.68"/>
    <x v="4"/>
  </r>
  <r>
    <s v="ORD200229"/>
    <d v="2025-03-28T00:00:00"/>
    <s v="C62622"/>
    <s v="Tablet"/>
    <x v="2"/>
    <n v="562.61"/>
    <s v="762 Main St"/>
    <s v="Credit Card"/>
    <s v="Delivered"/>
    <s v="TRK70997648"/>
    <n v="3"/>
    <s v="WINTER15"/>
    <x v="3"/>
    <n v="562.61"/>
    <x v="9"/>
  </r>
  <r>
    <s v="ORD200230"/>
    <d v="2023-12-16T00:00:00"/>
    <s v="C94595"/>
    <s v="Desk"/>
    <x v="3"/>
    <n v="61.91"/>
    <s v="948 Main St"/>
    <s v="Gift Card"/>
    <s v="Delivered"/>
    <s v="TRK24497305"/>
    <n v="6"/>
    <s v="WINTER15"/>
    <x v="2"/>
    <n v="247.64"/>
    <x v="8"/>
  </r>
  <r>
    <s v="ORD200231"/>
    <d v="2023-11-05T00:00:00"/>
    <s v="C30955"/>
    <s v="Phone"/>
    <x v="3"/>
    <n v="41.9"/>
    <s v="327 Main St"/>
    <s v="Gift Card"/>
    <s v="Pending"/>
    <s v="TRK46898848"/>
    <n v="9"/>
    <s v="FREESHIP"/>
    <x v="0"/>
    <n v="167.6"/>
    <x v="7"/>
  </r>
  <r>
    <s v="ORD200232"/>
    <d v="2023-05-19T00:00:00"/>
    <s v="C20731"/>
    <s v="Printer"/>
    <x v="3"/>
    <n v="444.44"/>
    <s v="610 Main St"/>
    <s v="Debit Card"/>
    <s v="Cancelled"/>
    <s v="TRK75568437"/>
    <n v="8"/>
    <s v="WINTER15"/>
    <x v="4"/>
    <n v="1777.76"/>
    <x v="4"/>
  </r>
  <r>
    <s v="ORD200233"/>
    <d v="2024-08-24T00:00:00"/>
    <s v="C30168"/>
    <s v="Phone"/>
    <x v="4"/>
    <n v="311.33"/>
    <s v="146 Main St"/>
    <s v="Cash"/>
    <s v="Cancelled"/>
    <s v="TRK73699939"/>
    <n v="3"/>
    <s v="WINTER15"/>
    <x v="0"/>
    <n v="933.99"/>
    <x v="1"/>
  </r>
  <r>
    <s v="ORD200234"/>
    <d v="2024-11-26T00:00:00"/>
    <s v="C79842"/>
    <s v="Printer"/>
    <x v="3"/>
    <n v="236.41"/>
    <s v="337 Main St"/>
    <s v="Debit Card"/>
    <s v="Pending"/>
    <s v="TRK26957950"/>
    <n v="7"/>
    <s v="SAVE10"/>
    <x v="4"/>
    <n v="945.64"/>
    <x v="7"/>
  </r>
  <r>
    <s v="ORD200235"/>
    <d v="2023-02-20T00:00:00"/>
    <s v="C32854"/>
    <s v="Desk"/>
    <x v="2"/>
    <n v="65.45"/>
    <s v="815 Main St"/>
    <s v="Cash"/>
    <s v="Pending"/>
    <s v="TRK30009218"/>
    <n v="2"/>
    <s v="WINTER15"/>
    <x v="4"/>
    <n v="65.45"/>
    <x v="2"/>
  </r>
  <r>
    <s v="ORD200236"/>
    <d v="2023-01-01T00:00:00"/>
    <s v="C14847"/>
    <s v="Monitor"/>
    <x v="2"/>
    <n v="318.81"/>
    <s v="562 Main St"/>
    <s v="Debit Card"/>
    <s v="Pending"/>
    <s v="TRK39663243"/>
    <n v="3"/>
    <s v="WINTER15"/>
    <x v="2"/>
    <n v="318.81"/>
    <x v="0"/>
  </r>
  <r>
    <s v="ORD200237"/>
    <d v="2024-03-14T00:00:00"/>
    <s v="C88645"/>
    <s v="Monitor"/>
    <x v="4"/>
    <n v="583.72"/>
    <s v="783 Main St"/>
    <s v="Credit Card"/>
    <s v="Shipped"/>
    <s v="TRK74097570"/>
    <n v="5"/>
    <s v="FREESHIP"/>
    <x v="3"/>
    <n v="1751.16"/>
    <x v="9"/>
  </r>
  <r>
    <s v="ORD200238"/>
    <d v="2024-12-13T00:00:00"/>
    <s v="C66149"/>
    <s v="Desk"/>
    <x v="3"/>
    <n v="384.32"/>
    <s v="770 Main St"/>
    <s v="Credit Card"/>
    <s v="Pending"/>
    <s v="TRK76307307"/>
    <n v="6"/>
    <s v="WINTER15"/>
    <x v="4"/>
    <n v="1537.28"/>
    <x v="8"/>
  </r>
  <r>
    <s v="ORD200239"/>
    <d v="2024-12-11T00:00:00"/>
    <s v="C20256"/>
    <s v="Tablet"/>
    <x v="4"/>
    <n v="538.74"/>
    <s v="456 Main St"/>
    <s v="Online"/>
    <s v="Shipped"/>
    <s v="TRK71127943"/>
    <n v="6"/>
    <s v="FREESHIP"/>
    <x v="2"/>
    <n v="1616.22"/>
    <x v="8"/>
  </r>
  <r>
    <s v="ORD200240"/>
    <d v="2023-07-12T00:00:00"/>
    <s v="C14983"/>
    <s v="Tablet"/>
    <x v="2"/>
    <n v="17.239999999999998"/>
    <s v="255 Main St"/>
    <s v="Online"/>
    <s v="Pending"/>
    <s v="TRK93444157"/>
    <n v="2"/>
    <s v="FREESHIP"/>
    <x v="0"/>
    <n v="17.239999999999998"/>
    <x v="10"/>
  </r>
  <r>
    <s v="ORD200241"/>
    <d v="2023-05-16T00:00:00"/>
    <s v="C20817"/>
    <s v="Chair"/>
    <x v="0"/>
    <n v="615.66999999999996"/>
    <s v="407 Main St"/>
    <s v="Online"/>
    <s v="Pending"/>
    <s v="TRK44164590"/>
    <n v="6"/>
    <s v="SAVE10"/>
    <x v="2"/>
    <n v="3078.35"/>
    <x v="4"/>
  </r>
  <r>
    <s v="ORD200242"/>
    <d v="2023-05-09T00:00:00"/>
    <s v="C94921"/>
    <s v="Printer"/>
    <x v="1"/>
    <n v="219.1"/>
    <s v="134 Main St"/>
    <s v="Online"/>
    <s v="Pending"/>
    <s v="TRK97794327"/>
    <n v="4"/>
    <s v="SAVE10"/>
    <x v="1"/>
    <n v="438.2"/>
    <x v="4"/>
  </r>
  <r>
    <s v="ORD200243"/>
    <d v="2025-05-09T00:00:00"/>
    <s v="C54725"/>
    <s v="Chair"/>
    <x v="1"/>
    <n v="144.66"/>
    <s v="506 Main St"/>
    <s v="Online"/>
    <s v="Cancelled"/>
    <s v="TRK30601940"/>
    <n v="7"/>
    <s v="FREESHIP"/>
    <x v="4"/>
    <n v="289.32"/>
    <x v="4"/>
  </r>
  <r>
    <s v="ORD200244"/>
    <d v="2023-02-16T00:00:00"/>
    <s v="C98096"/>
    <s v="Desk"/>
    <x v="1"/>
    <n v="317.77"/>
    <s v="838 Main St"/>
    <s v="Debit Card"/>
    <s v="Cancelled"/>
    <s v="TRK51518631"/>
    <n v="4"/>
    <s v="WINTER15"/>
    <x v="3"/>
    <n v="635.54"/>
    <x v="2"/>
  </r>
  <r>
    <s v="ORD200245"/>
    <d v="2025-04-20T00:00:00"/>
    <s v="C12667"/>
    <s v="Laptop"/>
    <x v="2"/>
    <n v="223.3"/>
    <s v="306 Main St"/>
    <s v="Online"/>
    <s v="Returned"/>
    <s v="TRK25390491"/>
    <n v="1"/>
    <m/>
    <x v="3"/>
    <n v="223.3"/>
    <x v="6"/>
  </r>
  <r>
    <s v="ORD200246"/>
    <d v="2024-08-30T00:00:00"/>
    <s v="C55354"/>
    <s v="Desk"/>
    <x v="1"/>
    <n v="342.11"/>
    <s v="164 Main St"/>
    <s v="Gift Card"/>
    <s v="Shipped"/>
    <s v="TRK15439493"/>
    <n v="2"/>
    <s v="WINTER15"/>
    <x v="0"/>
    <n v="684.22"/>
    <x v="1"/>
  </r>
  <r>
    <s v="ORD200247"/>
    <d v="2023-07-20T00:00:00"/>
    <s v="C14600"/>
    <s v="Printer"/>
    <x v="1"/>
    <n v="220.9"/>
    <s v="785 Main St"/>
    <s v="Gift Card"/>
    <s v="Shipped"/>
    <s v="TRK84984764"/>
    <n v="4"/>
    <m/>
    <x v="2"/>
    <n v="441.8"/>
    <x v="10"/>
  </r>
  <r>
    <s v="ORD200248"/>
    <d v="2023-07-02T00:00:00"/>
    <s v="C97187"/>
    <s v="Laptop"/>
    <x v="2"/>
    <n v="670.54"/>
    <s v="471 Main St"/>
    <s v="Cash"/>
    <s v="Shipped"/>
    <s v="TRK62283713"/>
    <n v="6"/>
    <s v="FREESHIP"/>
    <x v="1"/>
    <n v="670.54"/>
    <x v="10"/>
  </r>
  <r>
    <s v="ORD200249"/>
    <d v="2024-02-07T00:00:00"/>
    <s v="C39106"/>
    <s v="Printer"/>
    <x v="2"/>
    <n v="546.19000000000005"/>
    <s v="245 Main St"/>
    <s v="Cash"/>
    <s v="Pending"/>
    <s v="TRK35464433"/>
    <n v="5"/>
    <s v="FREESHIP"/>
    <x v="1"/>
    <n v="546.19000000000005"/>
    <x v="2"/>
  </r>
  <r>
    <s v="ORD200250"/>
    <d v="2023-04-05T00:00:00"/>
    <s v="C93379"/>
    <s v="Desk"/>
    <x v="4"/>
    <n v="42.95"/>
    <s v="318 Main St"/>
    <s v="Gift Card"/>
    <s v="Returned"/>
    <s v="TRK67954150"/>
    <n v="8"/>
    <s v="SAVE10"/>
    <x v="2"/>
    <n v="128.85"/>
    <x v="6"/>
  </r>
  <r>
    <s v="ORD200251"/>
    <d v="2025-05-15T00:00:00"/>
    <s v="C93175"/>
    <s v="Monitor"/>
    <x v="3"/>
    <n v="14.69"/>
    <s v="814 Main St"/>
    <s v="Cash"/>
    <s v="Cancelled"/>
    <s v="TRK32995144"/>
    <n v="9"/>
    <m/>
    <x v="2"/>
    <n v="58.76"/>
    <x v="4"/>
  </r>
  <r>
    <s v="ORD200252"/>
    <d v="2024-09-20T00:00:00"/>
    <s v="C19648"/>
    <s v="Phone"/>
    <x v="3"/>
    <n v="668.36"/>
    <s v="821 Main St"/>
    <s v="Gift Card"/>
    <s v="Cancelled"/>
    <s v="TRK51297879"/>
    <n v="5"/>
    <s v="FREESHIP"/>
    <x v="3"/>
    <n v="2673.44"/>
    <x v="11"/>
  </r>
  <r>
    <s v="ORD200253"/>
    <d v="2024-03-23T00:00:00"/>
    <s v="C14891"/>
    <s v="Chair"/>
    <x v="3"/>
    <n v="413.74"/>
    <s v="743 Main St"/>
    <s v="Gift Card"/>
    <s v="Returned"/>
    <s v="TRK79471534"/>
    <n v="7"/>
    <s v="FREESHIP"/>
    <x v="0"/>
    <n v="1654.96"/>
    <x v="9"/>
  </r>
  <r>
    <s v="ORD200254"/>
    <d v="2023-12-26T00:00:00"/>
    <s v="C10866"/>
    <s v="Monitor"/>
    <x v="4"/>
    <n v="263.19"/>
    <s v="770 Main St"/>
    <s v="Online"/>
    <s v="Delivered"/>
    <s v="TRK34809583"/>
    <n v="5"/>
    <m/>
    <x v="0"/>
    <n v="789.56999999999994"/>
    <x v="8"/>
  </r>
  <r>
    <s v="ORD200255"/>
    <d v="2024-05-13T00:00:00"/>
    <s v="C47283"/>
    <s v="Monitor"/>
    <x v="2"/>
    <n v="263.95999999999998"/>
    <s v="806 Main St"/>
    <s v="Gift Card"/>
    <s v="Returned"/>
    <s v="TRK56235117"/>
    <n v="2"/>
    <s v="SAVE10"/>
    <x v="4"/>
    <n v="263.95999999999998"/>
    <x v="4"/>
  </r>
  <r>
    <s v="ORD200256"/>
    <d v="2025-06-30T00:00:00"/>
    <s v="C94323"/>
    <s v="Chair"/>
    <x v="0"/>
    <n v="75.81"/>
    <s v="463 Main St"/>
    <s v="Gift Card"/>
    <s v="Returned"/>
    <s v="TRK22663277"/>
    <n v="10"/>
    <s v="WINTER15"/>
    <x v="0"/>
    <n v="379.05"/>
    <x v="5"/>
  </r>
  <r>
    <s v="ORD200257"/>
    <d v="2024-04-23T00:00:00"/>
    <s v="C89732"/>
    <s v="Phone"/>
    <x v="2"/>
    <n v="406.22"/>
    <s v="712 Main St"/>
    <s v="Credit Card"/>
    <s v="Cancelled"/>
    <s v="TRK41059233"/>
    <n v="5"/>
    <s v="SAVE10"/>
    <x v="1"/>
    <n v="406.22"/>
    <x v="6"/>
  </r>
  <r>
    <s v="ORD200258"/>
    <d v="2024-02-26T00:00:00"/>
    <s v="C87764"/>
    <s v="Tablet"/>
    <x v="1"/>
    <n v="103.41"/>
    <s v="294 Main St"/>
    <s v="Online"/>
    <s v="Shipped"/>
    <s v="TRK94082469"/>
    <n v="2"/>
    <s v="FREESHIP"/>
    <x v="1"/>
    <n v="206.82"/>
    <x v="2"/>
  </r>
  <r>
    <s v="ORD200259"/>
    <d v="2023-06-11T00:00:00"/>
    <s v="C20977"/>
    <s v="Chair"/>
    <x v="3"/>
    <n v="435.12"/>
    <s v="636 Main St"/>
    <s v="Credit Card"/>
    <s v="Delivered"/>
    <s v="TRK54991561"/>
    <n v="9"/>
    <s v="SAVE10"/>
    <x v="0"/>
    <n v="1740.48"/>
    <x v="5"/>
  </r>
  <r>
    <s v="ORD200260"/>
    <d v="2023-05-17T00:00:00"/>
    <s v="C12245"/>
    <s v="Monitor"/>
    <x v="1"/>
    <n v="407.79"/>
    <s v="153 Main St"/>
    <s v="Debit Card"/>
    <s v="Shipped"/>
    <s v="TRK22000463"/>
    <n v="3"/>
    <m/>
    <x v="4"/>
    <n v="815.58"/>
    <x v="4"/>
  </r>
  <r>
    <s v="ORD200261"/>
    <d v="2025-05-28T00:00:00"/>
    <s v="C68976"/>
    <s v="Phone"/>
    <x v="0"/>
    <n v="173.65"/>
    <s v="460 Main St"/>
    <s v="Gift Card"/>
    <s v="Delivered"/>
    <s v="TRK25491356"/>
    <n v="9"/>
    <s v="SAVE10"/>
    <x v="2"/>
    <n v="868.25"/>
    <x v="4"/>
  </r>
  <r>
    <s v="ORD200262"/>
    <d v="2023-01-10T00:00:00"/>
    <s v="C69476"/>
    <s v="Phone"/>
    <x v="3"/>
    <n v="249.07"/>
    <s v="642 Main St"/>
    <s v="Credit Card"/>
    <s v="Returned"/>
    <s v="TRK65869386"/>
    <n v="5"/>
    <s v="WINTER15"/>
    <x v="1"/>
    <n v="996.28"/>
    <x v="0"/>
  </r>
  <r>
    <s v="ORD200263"/>
    <d v="2023-03-25T00:00:00"/>
    <s v="C71040"/>
    <s v="Phone"/>
    <x v="3"/>
    <n v="434.85"/>
    <s v="250 Main St"/>
    <s v="Credit Card"/>
    <s v="Pending"/>
    <s v="TRK41397604"/>
    <n v="4"/>
    <s v="WINTER15"/>
    <x v="4"/>
    <n v="1739.4"/>
    <x v="9"/>
  </r>
  <r>
    <s v="ORD200264"/>
    <d v="2024-08-03T00:00:00"/>
    <s v="C71035"/>
    <s v="Tablet"/>
    <x v="2"/>
    <n v="436.77"/>
    <s v="977 Main St"/>
    <s v="Cash"/>
    <s v="Returned"/>
    <s v="TRK19599578"/>
    <n v="5"/>
    <s v="FREESHIP"/>
    <x v="4"/>
    <n v="436.77"/>
    <x v="1"/>
  </r>
  <r>
    <s v="ORD200265"/>
    <d v="2023-12-22T00:00:00"/>
    <s v="C20752"/>
    <s v="Printer"/>
    <x v="2"/>
    <n v="572.13"/>
    <s v="150 Main St"/>
    <s v="Debit Card"/>
    <s v="Cancelled"/>
    <s v="TRK22298450"/>
    <n v="4"/>
    <s v="SAVE10"/>
    <x v="4"/>
    <n v="572.13"/>
    <x v="8"/>
  </r>
  <r>
    <s v="ORD200266"/>
    <d v="2024-06-08T00:00:00"/>
    <s v="C38840"/>
    <s v="Chair"/>
    <x v="3"/>
    <n v="583.07000000000005"/>
    <s v="589 Main St"/>
    <s v="Credit Card"/>
    <s v="Cancelled"/>
    <s v="TRK48484633"/>
    <n v="6"/>
    <s v="FREESHIP"/>
    <x v="1"/>
    <n v="2332.2800000000002"/>
    <x v="5"/>
  </r>
  <r>
    <s v="ORD200267"/>
    <d v="2025-04-17T00:00:00"/>
    <s v="C84480"/>
    <s v="Chair"/>
    <x v="0"/>
    <n v="468.51"/>
    <s v="803 Main St"/>
    <s v="Debit Card"/>
    <s v="Delivered"/>
    <s v="TRK62361867"/>
    <n v="9"/>
    <m/>
    <x v="3"/>
    <n v="2342.5500000000002"/>
    <x v="6"/>
  </r>
  <r>
    <s v="ORD200268"/>
    <d v="2023-08-11T00:00:00"/>
    <s v="C37032"/>
    <s v="Phone"/>
    <x v="1"/>
    <n v="423.88"/>
    <s v="655 Main St"/>
    <s v="Debit Card"/>
    <s v="Delivered"/>
    <s v="TRK48639226"/>
    <n v="7"/>
    <s v="SAVE10"/>
    <x v="1"/>
    <n v="847.76"/>
    <x v="1"/>
  </r>
  <r>
    <s v="ORD200269"/>
    <d v="2023-11-25T00:00:00"/>
    <s v="C48942"/>
    <s v="Tablet"/>
    <x v="3"/>
    <n v="663.67"/>
    <s v="129 Main St"/>
    <s v="Credit Card"/>
    <s v="Pending"/>
    <s v="TRK29355120"/>
    <n v="7"/>
    <s v="FREESHIP"/>
    <x v="4"/>
    <n v="2654.68"/>
    <x v="7"/>
  </r>
  <r>
    <s v="ORD200270"/>
    <d v="2023-06-04T00:00:00"/>
    <s v="C13540"/>
    <s v="Printer"/>
    <x v="3"/>
    <n v="309.91000000000003"/>
    <s v="127 Main St"/>
    <s v="Debit Card"/>
    <s v="Shipped"/>
    <s v="TRK81087373"/>
    <n v="5"/>
    <s v="WINTER15"/>
    <x v="4"/>
    <n v="1239.6400000000001"/>
    <x v="5"/>
  </r>
  <r>
    <s v="ORD200271"/>
    <d v="2023-03-28T00:00:00"/>
    <s v="C59572"/>
    <s v="Monitor"/>
    <x v="2"/>
    <n v="542.07000000000005"/>
    <s v="791 Main St"/>
    <s v="Cash"/>
    <s v="Shipped"/>
    <s v="TRK16792991"/>
    <n v="6"/>
    <s v="WINTER15"/>
    <x v="1"/>
    <n v="542.07000000000005"/>
    <x v="9"/>
  </r>
  <r>
    <s v="ORD200272"/>
    <d v="2023-09-19T00:00:00"/>
    <s v="C29758"/>
    <s v="Chair"/>
    <x v="1"/>
    <n v="399.32"/>
    <s v="119 Main St"/>
    <s v="Online"/>
    <s v="Pending"/>
    <s v="TRK12990043"/>
    <n v="6"/>
    <s v="WINTER15"/>
    <x v="0"/>
    <n v="798.64"/>
    <x v="11"/>
  </r>
  <r>
    <s v="ORD200273"/>
    <d v="2024-10-27T00:00:00"/>
    <s v="C11849"/>
    <s v="Tablet"/>
    <x v="1"/>
    <n v="238.25"/>
    <s v="974 Main St"/>
    <s v="Online"/>
    <s v="Cancelled"/>
    <s v="TRK91195261"/>
    <n v="7"/>
    <s v="FREESHIP"/>
    <x v="2"/>
    <n v="476.5"/>
    <x v="3"/>
  </r>
  <r>
    <s v="ORD200274"/>
    <d v="2023-02-04T00:00:00"/>
    <s v="C50967"/>
    <s v="Phone"/>
    <x v="1"/>
    <n v="182.4"/>
    <s v="884 Main St"/>
    <s v="Gift Card"/>
    <s v="Cancelled"/>
    <s v="TRK65300814"/>
    <n v="5"/>
    <s v="SAVE10"/>
    <x v="1"/>
    <n v="364.8"/>
    <x v="2"/>
  </r>
  <r>
    <s v="ORD200275"/>
    <d v="2023-11-04T00:00:00"/>
    <s v="C80735"/>
    <s v="Chair"/>
    <x v="1"/>
    <n v="65.069999999999993"/>
    <s v="360 Main St"/>
    <s v="Credit Card"/>
    <s v="Cancelled"/>
    <s v="TRK99880231"/>
    <n v="4"/>
    <s v="SAVE10"/>
    <x v="4"/>
    <n v="130.13999999999999"/>
    <x v="7"/>
  </r>
  <r>
    <s v="ORD200276"/>
    <d v="2025-03-29T00:00:00"/>
    <s v="C99050"/>
    <s v="Printer"/>
    <x v="1"/>
    <n v="600.57000000000005"/>
    <s v="654 Main St"/>
    <s v="Debit Card"/>
    <s v="Returned"/>
    <s v="TRK56927089"/>
    <n v="3"/>
    <s v="WINTER15"/>
    <x v="0"/>
    <n v="1201.1400000000001"/>
    <x v="9"/>
  </r>
  <r>
    <s v="ORD200277"/>
    <d v="2024-09-09T00:00:00"/>
    <s v="C11210"/>
    <s v="Chair"/>
    <x v="0"/>
    <n v="90.92"/>
    <s v="910 Main St"/>
    <s v="Credit Card"/>
    <s v="Delivered"/>
    <s v="TRK44929965"/>
    <n v="9"/>
    <s v="SAVE10"/>
    <x v="3"/>
    <n v="454.6"/>
    <x v="11"/>
  </r>
  <r>
    <s v="ORD200278"/>
    <d v="2024-11-18T00:00:00"/>
    <s v="C46015"/>
    <s v="Laptop"/>
    <x v="0"/>
    <n v="362.46"/>
    <s v="299 Main St"/>
    <s v="Cash"/>
    <s v="Delivered"/>
    <s v="TRK46598430"/>
    <n v="6"/>
    <s v="FREESHIP"/>
    <x v="0"/>
    <n v="1812.3"/>
    <x v="7"/>
  </r>
  <r>
    <s v="ORD200279"/>
    <d v="2023-10-20T00:00:00"/>
    <s v="C69167"/>
    <s v="Chair"/>
    <x v="4"/>
    <n v="55.01"/>
    <s v="263 Main St"/>
    <s v="Online"/>
    <s v="Pending"/>
    <s v="TRK12425655"/>
    <n v="7"/>
    <s v="WINTER15"/>
    <x v="2"/>
    <n v="165.03"/>
    <x v="3"/>
  </r>
  <r>
    <s v="ORD200280"/>
    <d v="2023-03-27T00:00:00"/>
    <s v="C55388"/>
    <s v="Tablet"/>
    <x v="4"/>
    <n v="404.62"/>
    <s v="740 Main St"/>
    <s v="Gift Card"/>
    <s v="Delivered"/>
    <s v="TRK75741001"/>
    <n v="6"/>
    <s v="FREESHIP"/>
    <x v="0"/>
    <n v="1213.8599999999999"/>
    <x v="9"/>
  </r>
  <r>
    <s v="ORD200281"/>
    <d v="2023-07-27T00:00:00"/>
    <s v="C87181"/>
    <s v="Desk"/>
    <x v="3"/>
    <n v="654.79"/>
    <s v="195 Main St"/>
    <s v="Cash"/>
    <s v="Pending"/>
    <s v="TRK60093390"/>
    <n v="9"/>
    <m/>
    <x v="1"/>
    <n v="2619.16"/>
    <x v="10"/>
  </r>
  <r>
    <s v="ORD200282"/>
    <d v="2025-04-22T00:00:00"/>
    <s v="C30411"/>
    <s v="Printer"/>
    <x v="3"/>
    <n v="637.79"/>
    <s v="375 Main St"/>
    <s v="Gift Card"/>
    <s v="Cancelled"/>
    <s v="TRK71810536"/>
    <n v="9"/>
    <s v="FREESHIP"/>
    <x v="4"/>
    <n v="2551.16"/>
    <x v="6"/>
  </r>
  <r>
    <s v="ORD200283"/>
    <d v="2025-02-28T00:00:00"/>
    <s v="C39638"/>
    <s v="Laptop"/>
    <x v="3"/>
    <n v="540.33000000000004"/>
    <s v="990 Main St"/>
    <s v="Cash"/>
    <s v="Shipped"/>
    <s v="TRK69745608"/>
    <n v="6"/>
    <m/>
    <x v="4"/>
    <n v="2161.3200000000002"/>
    <x v="2"/>
  </r>
  <r>
    <s v="ORD200284"/>
    <d v="2023-02-16T00:00:00"/>
    <s v="C27203"/>
    <s v="Laptop"/>
    <x v="0"/>
    <n v="208.17"/>
    <s v="516 Main St"/>
    <s v="Credit Card"/>
    <s v="Returned"/>
    <s v="TRK22023906"/>
    <n v="6"/>
    <s v="SAVE10"/>
    <x v="3"/>
    <n v="1040.8499999999999"/>
    <x v="2"/>
  </r>
  <r>
    <s v="ORD200285"/>
    <d v="2025-06-10T00:00:00"/>
    <s v="C67583"/>
    <s v="Phone"/>
    <x v="2"/>
    <n v="338.31"/>
    <s v="974 Main St"/>
    <s v="Online"/>
    <s v="Delivered"/>
    <s v="TRK93281700"/>
    <n v="3"/>
    <m/>
    <x v="4"/>
    <n v="338.31"/>
    <x v="5"/>
  </r>
  <r>
    <s v="ORD200286"/>
    <d v="2025-04-07T00:00:00"/>
    <s v="C70554"/>
    <s v="Monitor"/>
    <x v="4"/>
    <n v="139.44999999999999"/>
    <s v="187 Main St"/>
    <s v="Gift Card"/>
    <s v="Returned"/>
    <s v="TRK61086952"/>
    <n v="8"/>
    <s v="WINTER15"/>
    <x v="4"/>
    <n v="418.35"/>
    <x v="6"/>
  </r>
  <r>
    <s v="ORD200287"/>
    <d v="2023-11-24T00:00:00"/>
    <s v="C70437"/>
    <s v="Chair"/>
    <x v="3"/>
    <n v="655.17999999999995"/>
    <s v="630 Main St"/>
    <s v="Online"/>
    <s v="Shipped"/>
    <s v="TRK26628830"/>
    <n v="5"/>
    <m/>
    <x v="3"/>
    <n v="2620.7199999999998"/>
    <x v="7"/>
  </r>
  <r>
    <s v="ORD200288"/>
    <d v="2023-03-12T00:00:00"/>
    <s v="C97643"/>
    <s v="Laptop"/>
    <x v="3"/>
    <n v="512.75"/>
    <s v="537 Main St"/>
    <s v="Debit Card"/>
    <s v="Returned"/>
    <s v="TRK60831391"/>
    <n v="8"/>
    <s v="WINTER15"/>
    <x v="4"/>
    <n v="2051"/>
    <x v="9"/>
  </r>
  <r>
    <s v="ORD200289"/>
    <d v="2023-07-26T00:00:00"/>
    <s v="C17136"/>
    <s v="Chair"/>
    <x v="3"/>
    <n v="160.49"/>
    <s v="333 Main St"/>
    <s v="Credit Card"/>
    <s v="Shipped"/>
    <s v="TRK55362541"/>
    <n v="8"/>
    <s v="WINTER15"/>
    <x v="1"/>
    <n v="641.96"/>
    <x v="10"/>
  </r>
  <r>
    <s v="ORD200290"/>
    <d v="2023-05-05T00:00:00"/>
    <s v="C24901"/>
    <s v="Chair"/>
    <x v="4"/>
    <n v="99.9"/>
    <s v="258 Main St"/>
    <s v="Cash"/>
    <s v="Delivered"/>
    <s v="TRK14029489"/>
    <n v="8"/>
    <s v="FREESHIP"/>
    <x v="3"/>
    <n v="299.7"/>
    <x v="4"/>
  </r>
  <r>
    <s v="ORD200291"/>
    <d v="2024-05-12T00:00:00"/>
    <s v="C61521"/>
    <s v="Phone"/>
    <x v="1"/>
    <n v="345.01"/>
    <s v="670 Main St"/>
    <s v="Credit Card"/>
    <s v="Delivered"/>
    <s v="TRK93676567"/>
    <n v="6"/>
    <s v="FREESHIP"/>
    <x v="4"/>
    <n v="690.02"/>
    <x v="4"/>
  </r>
  <r>
    <s v="ORD200292"/>
    <d v="2025-01-15T00:00:00"/>
    <s v="C39639"/>
    <s v="Monitor"/>
    <x v="2"/>
    <n v="65.95"/>
    <s v="185 Main St"/>
    <s v="Credit Card"/>
    <s v="Delivered"/>
    <s v="TRK31042152"/>
    <n v="5"/>
    <m/>
    <x v="3"/>
    <n v="65.95"/>
    <x v="0"/>
  </r>
  <r>
    <s v="ORD200293"/>
    <d v="2023-02-16T00:00:00"/>
    <s v="C33220"/>
    <s v="Tablet"/>
    <x v="3"/>
    <n v="463.04"/>
    <s v="564 Main St"/>
    <s v="Gift Card"/>
    <s v="Returned"/>
    <s v="TRK40450219"/>
    <n v="9"/>
    <m/>
    <x v="0"/>
    <n v="1852.16"/>
    <x v="2"/>
  </r>
  <r>
    <s v="ORD200294"/>
    <d v="2025-04-01T00:00:00"/>
    <s v="C65414"/>
    <s v="Phone"/>
    <x v="1"/>
    <n v="297.70999999999998"/>
    <s v="208 Main St"/>
    <s v="Online"/>
    <s v="Shipped"/>
    <s v="TRK67562517"/>
    <n v="7"/>
    <s v="SAVE10"/>
    <x v="1"/>
    <n v="595.41999999999996"/>
    <x v="6"/>
  </r>
  <r>
    <s v="ORD200295"/>
    <d v="2023-01-25T00:00:00"/>
    <s v="C49009"/>
    <s v="Printer"/>
    <x v="0"/>
    <n v="107.48"/>
    <s v="278 Main St"/>
    <s v="Debit Card"/>
    <s v="Cancelled"/>
    <s v="TRK46285799"/>
    <n v="9"/>
    <s v="FREESHIP"/>
    <x v="2"/>
    <n v="537.4"/>
    <x v="0"/>
  </r>
  <r>
    <s v="ORD200296"/>
    <d v="2024-06-19T00:00:00"/>
    <s v="C48453"/>
    <s v="Desk"/>
    <x v="0"/>
    <n v="638.79999999999995"/>
    <s v="434 Main St"/>
    <s v="Debit Card"/>
    <s v="Cancelled"/>
    <s v="TRK52110494"/>
    <n v="10"/>
    <s v="WINTER15"/>
    <x v="1"/>
    <n v="3194"/>
    <x v="5"/>
  </r>
  <r>
    <s v="ORD200297"/>
    <d v="2023-02-22T00:00:00"/>
    <s v="C68078"/>
    <s v="Desk"/>
    <x v="1"/>
    <n v="493.88"/>
    <s v="252 Main St"/>
    <s v="Credit Card"/>
    <s v="Returned"/>
    <s v="TRK64862812"/>
    <n v="7"/>
    <s v="SAVE10"/>
    <x v="0"/>
    <n v="987.76"/>
    <x v="2"/>
  </r>
  <r>
    <s v="ORD200298"/>
    <d v="2023-12-19T00:00:00"/>
    <s v="C19402"/>
    <s v="Printer"/>
    <x v="3"/>
    <n v="301.17"/>
    <s v="267 Main St"/>
    <s v="Online"/>
    <s v="Cancelled"/>
    <s v="TRK97825212"/>
    <n v="6"/>
    <m/>
    <x v="2"/>
    <n v="1204.68"/>
    <x v="8"/>
  </r>
  <r>
    <s v="ORD200299"/>
    <d v="2024-01-20T00:00:00"/>
    <s v="C30711"/>
    <s v="Monitor"/>
    <x v="2"/>
    <n v="278.66000000000003"/>
    <s v="856 Main St"/>
    <s v="Gift Card"/>
    <s v="Cancelled"/>
    <s v="TRK42696593"/>
    <n v="2"/>
    <s v="FREESHIP"/>
    <x v="0"/>
    <n v="278.66000000000003"/>
    <x v="0"/>
  </r>
  <r>
    <s v="ORD200300"/>
    <d v="2024-09-02T00:00:00"/>
    <s v="C39000"/>
    <s v="Phone"/>
    <x v="2"/>
    <n v="287.45999999999998"/>
    <s v="894 Main St"/>
    <s v="Debit Card"/>
    <s v="Returned"/>
    <s v="TRK33753945"/>
    <n v="3"/>
    <s v="FREESHIP"/>
    <x v="3"/>
    <n v="287.45999999999998"/>
    <x v="11"/>
  </r>
  <r>
    <s v="ORD200301"/>
    <d v="2023-05-11T00:00:00"/>
    <s v="C31105"/>
    <s v="Chair"/>
    <x v="2"/>
    <n v="583.99"/>
    <s v="726 Main St"/>
    <s v="Cash"/>
    <s v="Cancelled"/>
    <s v="TRK40149095"/>
    <n v="2"/>
    <s v="SAVE10"/>
    <x v="2"/>
    <n v="583.99"/>
    <x v="4"/>
  </r>
  <r>
    <s v="ORD200302"/>
    <d v="2023-05-16T00:00:00"/>
    <s v="C29432"/>
    <s v="Chair"/>
    <x v="4"/>
    <n v="468.74"/>
    <s v="121 Main St"/>
    <s v="Cash"/>
    <s v="Pending"/>
    <s v="TRK44142517"/>
    <n v="4"/>
    <s v="FREESHIP"/>
    <x v="0"/>
    <n v="1406.22"/>
    <x v="4"/>
  </r>
  <r>
    <s v="ORD200303"/>
    <d v="2024-12-07T00:00:00"/>
    <s v="C48531"/>
    <s v="Tablet"/>
    <x v="2"/>
    <n v="30.54"/>
    <s v="368 Main St"/>
    <s v="Debit Card"/>
    <s v="Returned"/>
    <s v="TRK95462192"/>
    <n v="1"/>
    <m/>
    <x v="4"/>
    <n v="30.54"/>
    <x v="8"/>
  </r>
  <r>
    <s v="ORD200304"/>
    <d v="2024-10-18T00:00:00"/>
    <s v="C86762"/>
    <s v="Monitor"/>
    <x v="0"/>
    <n v="408.73"/>
    <s v="326 Main St"/>
    <s v="Gift Card"/>
    <s v="Delivered"/>
    <s v="TRK75686292"/>
    <n v="10"/>
    <s v="FREESHIP"/>
    <x v="0"/>
    <n v="2043.65"/>
    <x v="3"/>
  </r>
  <r>
    <s v="ORD200305"/>
    <d v="2023-11-25T00:00:00"/>
    <s v="C63822"/>
    <s v="Laptop"/>
    <x v="3"/>
    <n v="126.89"/>
    <s v="235 Main St"/>
    <s v="Cash"/>
    <s v="Pending"/>
    <s v="TRK59353216"/>
    <n v="9"/>
    <s v="FREESHIP"/>
    <x v="0"/>
    <n v="507.56"/>
    <x v="7"/>
  </r>
  <r>
    <s v="ORD200306"/>
    <d v="2024-06-07T00:00:00"/>
    <s v="C70495"/>
    <s v="Printer"/>
    <x v="1"/>
    <n v="57.07"/>
    <s v="238 Main St"/>
    <s v="Debit Card"/>
    <s v="Returned"/>
    <s v="TRK65511225"/>
    <n v="3"/>
    <s v="SAVE10"/>
    <x v="0"/>
    <n v="114.14"/>
    <x v="5"/>
  </r>
  <r>
    <s v="ORD200307"/>
    <d v="2023-07-01T00:00:00"/>
    <s v="C92407"/>
    <s v="Laptop"/>
    <x v="4"/>
    <n v="557.41"/>
    <s v="135 Main St"/>
    <s v="Online"/>
    <s v="Delivered"/>
    <s v="TRK11755610"/>
    <n v="4"/>
    <m/>
    <x v="2"/>
    <n v="1672.23"/>
    <x v="10"/>
  </r>
  <r>
    <s v="ORD200308"/>
    <d v="2023-12-11T00:00:00"/>
    <s v="C75888"/>
    <s v="Printer"/>
    <x v="4"/>
    <n v="448.9"/>
    <s v="790 Main St"/>
    <s v="Debit Card"/>
    <s v="Returned"/>
    <s v="TRK98467398"/>
    <n v="7"/>
    <s v="SAVE10"/>
    <x v="0"/>
    <n v="1346.7"/>
    <x v="8"/>
  </r>
  <r>
    <s v="ORD200309"/>
    <d v="2023-10-03T00:00:00"/>
    <s v="C63153"/>
    <s v="Chair"/>
    <x v="3"/>
    <n v="549.76"/>
    <s v="625 Main St"/>
    <s v="Debit Card"/>
    <s v="Delivered"/>
    <s v="TRK38033305"/>
    <n v="4"/>
    <s v="FREESHIP"/>
    <x v="3"/>
    <n v="2199.04"/>
    <x v="3"/>
  </r>
  <r>
    <s v="ORD200310"/>
    <d v="2024-02-24T00:00:00"/>
    <s v="C85863"/>
    <s v="Printer"/>
    <x v="4"/>
    <n v="132.47999999999999"/>
    <s v="968 Main St"/>
    <s v="Online"/>
    <s v="Shipped"/>
    <s v="TRK16094218"/>
    <n v="4"/>
    <m/>
    <x v="1"/>
    <n v="397.43999999999988"/>
    <x v="2"/>
  </r>
  <r>
    <s v="ORD200311"/>
    <d v="2025-05-17T00:00:00"/>
    <s v="C71698"/>
    <s v="Desk"/>
    <x v="0"/>
    <n v="489.37"/>
    <s v="274 Main St"/>
    <s v="Online"/>
    <s v="Returned"/>
    <s v="TRK34786818"/>
    <n v="8"/>
    <m/>
    <x v="0"/>
    <n v="2446.85"/>
    <x v="4"/>
  </r>
  <r>
    <s v="ORD200312"/>
    <d v="2025-05-24T00:00:00"/>
    <s v="C35397"/>
    <s v="Printer"/>
    <x v="0"/>
    <n v="66.31"/>
    <s v="579 Main St"/>
    <s v="Gift Card"/>
    <s v="Pending"/>
    <s v="TRK64742535"/>
    <n v="7"/>
    <s v="FREESHIP"/>
    <x v="1"/>
    <n v="331.55"/>
    <x v="4"/>
  </r>
  <r>
    <s v="ORD200313"/>
    <d v="2023-07-09T00:00:00"/>
    <s v="C67687"/>
    <s v="Chair"/>
    <x v="1"/>
    <n v="434.3"/>
    <s v="978 Main St"/>
    <s v="Cash"/>
    <s v="Delivered"/>
    <s v="TRK22838735"/>
    <n v="7"/>
    <s v="SAVE10"/>
    <x v="0"/>
    <n v="868.6"/>
    <x v="10"/>
  </r>
  <r>
    <s v="ORD200314"/>
    <d v="2023-10-04T00:00:00"/>
    <s v="C29931"/>
    <s v="Desk"/>
    <x v="3"/>
    <n v="153.09"/>
    <s v="540 Main St"/>
    <s v="Online"/>
    <s v="Delivered"/>
    <s v="TRK48712417"/>
    <n v="4"/>
    <s v="FREESHIP"/>
    <x v="1"/>
    <n v="612.36"/>
    <x v="3"/>
  </r>
  <r>
    <s v="ORD200315"/>
    <d v="2025-05-12T00:00:00"/>
    <s v="C59139"/>
    <s v="Tablet"/>
    <x v="0"/>
    <n v="91.67"/>
    <s v="301 Main St"/>
    <s v="Online"/>
    <s v="Cancelled"/>
    <s v="TRK45507090"/>
    <n v="9"/>
    <s v="FREESHIP"/>
    <x v="2"/>
    <n v="458.35"/>
    <x v="4"/>
  </r>
  <r>
    <s v="ORD200316"/>
    <d v="2023-10-02T00:00:00"/>
    <s v="C66078"/>
    <s v="Desk"/>
    <x v="3"/>
    <n v="275.27999999999997"/>
    <s v="101 Main St"/>
    <s v="Gift Card"/>
    <s v="Shipped"/>
    <s v="TRK86474559"/>
    <n v="9"/>
    <s v="WINTER15"/>
    <x v="3"/>
    <n v="1101.1199999999999"/>
    <x v="3"/>
  </r>
  <r>
    <s v="ORD200317"/>
    <d v="2023-04-10T00:00:00"/>
    <s v="C88370"/>
    <s v="Monitor"/>
    <x v="1"/>
    <n v="139.94999999999999"/>
    <s v="339 Main St"/>
    <s v="Online"/>
    <s v="Returned"/>
    <s v="TRK22575151"/>
    <n v="5"/>
    <m/>
    <x v="0"/>
    <n v="279.89999999999998"/>
    <x v="6"/>
  </r>
  <r>
    <s v="ORD200318"/>
    <d v="2024-07-27T00:00:00"/>
    <s v="C93375"/>
    <s v="Chair"/>
    <x v="4"/>
    <n v="148.72"/>
    <s v="317 Main St"/>
    <s v="Debit Card"/>
    <s v="Cancelled"/>
    <s v="TRK95706967"/>
    <n v="7"/>
    <s v="SAVE10"/>
    <x v="4"/>
    <n v="446.16"/>
    <x v="10"/>
  </r>
  <r>
    <s v="ORD200319"/>
    <d v="2023-12-02T00:00:00"/>
    <s v="C53049"/>
    <s v="Laptop"/>
    <x v="1"/>
    <n v="563.05999999999995"/>
    <s v="413 Main St"/>
    <s v="Cash"/>
    <s v="Returned"/>
    <s v="TRK48974907"/>
    <n v="6"/>
    <m/>
    <x v="0"/>
    <n v="1126.1199999999999"/>
    <x v="8"/>
  </r>
  <r>
    <s v="ORD200320"/>
    <d v="2024-12-19T00:00:00"/>
    <s v="C55590"/>
    <s v="Printer"/>
    <x v="2"/>
    <n v="625.51"/>
    <s v="772 Main St"/>
    <s v="Credit Card"/>
    <s v="Shipped"/>
    <s v="TRK48792951"/>
    <n v="1"/>
    <s v="FREESHIP"/>
    <x v="3"/>
    <n v="625.51"/>
    <x v="8"/>
  </r>
  <r>
    <s v="ORD200321"/>
    <d v="2023-08-09T00:00:00"/>
    <s v="C47086"/>
    <s v="Phone"/>
    <x v="3"/>
    <n v="152.29"/>
    <s v="135 Main St"/>
    <s v="Debit Card"/>
    <s v="Cancelled"/>
    <s v="TRK44194358"/>
    <n v="6"/>
    <s v="WINTER15"/>
    <x v="4"/>
    <n v="609.16"/>
    <x v="1"/>
  </r>
  <r>
    <s v="ORD200322"/>
    <d v="2024-06-14T00:00:00"/>
    <s v="C48646"/>
    <s v="Phone"/>
    <x v="0"/>
    <n v="231.82"/>
    <s v="339 Main St"/>
    <s v="Debit Card"/>
    <s v="Delivered"/>
    <s v="TRK18233748"/>
    <n v="6"/>
    <s v="SAVE10"/>
    <x v="3"/>
    <n v="1159.0999999999999"/>
    <x v="5"/>
  </r>
  <r>
    <s v="ORD200323"/>
    <d v="2025-01-26T00:00:00"/>
    <s v="C29416"/>
    <s v="Laptop"/>
    <x v="2"/>
    <n v="150.16999999999999"/>
    <s v="414 Main St"/>
    <s v="Debit Card"/>
    <s v="Returned"/>
    <s v="TRK63820842"/>
    <n v="1"/>
    <s v="SAVE10"/>
    <x v="1"/>
    <n v="150.16999999999999"/>
    <x v="0"/>
  </r>
  <r>
    <s v="ORD200324"/>
    <d v="2024-06-13T00:00:00"/>
    <s v="C13525"/>
    <s v="Tablet"/>
    <x v="4"/>
    <n v="70.930000000000007"/>
    <s v="847 Main St"/>
    <s v="Debit Card"/>
    <s v="Returned"/>
    <s v="TRK70193221"/>
    <n v="5"/>
    <m/>
    <x v="1"/>
    <n v="212.79"/>
    <x v="5"/>
  </r>
  <r>
    <s v="ORD200325"/>
    <d v="2023-06-29T00:00:00"/>
    <s v="C53545"/>
    <s v="Desk"/>
    <x v="4"/>
    <n v="361.39"/>
    <s v="665 Main St"/>
    <s v="Credit Card"/>
    <s v="Shipped"/>
    <s v="TRK61123177"/>
    <n v="8"/>
    <m/>
    <x v="1"/>
    <n v="1084.17"/>
    <x v="5"/>
  </r>
  <r>
    <s v="ORD200326"/>
    <d v="2024-07-01T00:00:00"/>
    <s v="C65986"/>
    <s v="Laptop"/>
    <x v="0"/>
    <n v="670.48"/>
    <s v="273 Main St"/>
    <s v="Gift Card"/>
    <s v="Returned"/>
    <s v="TRK98353867"/>
    <n v="5"/>
    <s v="SAVE10"/>
    <x v="3"/>
    <n v="3352.4"/>
    <x v="10"/>
  </r>
  <r>
    <s v="ORD200327"/>
    <d v="2023-07-25T00:00:00"/>
    <s v="C17302"/>
    <s v="Phone"/>
    <x v="2"/>
    <n v="359.99"/>
    <s v="385 Main St"/>
    <s v="Gift Card"/>
    <s v="Cancelled"/>
    <s v="TRK43940016"/>
    <n v="5"/>
    <s v="SAVE10"/>
    <x v="2"/>
    <n v="359.99"/>
    <x v="10"/>
  </r>
  <r>
    <s v="ORD200328"/>
    <d v="2023-02-28T00:00:00"/>
    <s v="C18404"/>
    <s v="Tablet"/>
    <x v="0"/>
    <n v="674.04"/>
    <s v="546 Main St"/>
    <s v="Online"/>
    <s v="Cancelled"/>
    <s v="TRK89401624"/>
    <n v="7"/>
    <s v="SAVE10"/>
    <x v="4"/>
    <n v="3370.2"/>
    <x v="2"/>
  </r>
  <r>
    <s v="ORD200329"/>
    <d v="2024-12-25T00:00:00"/>
    <s v="C88371"/>
    <s v="Chair"/>
    <x v="3"/>
    <n v="283.16000000000003"/>
    <s v="306 Main St"/>
    <s v="Credit Card"/>
    <s v="Shipped"/>
    <s v="TRK63224811"/>
    <n v="6"/>
    <m/>
    <x v="4"/>
    <n v="1132.6400000000001"/>
    <x v="8"/>
  </r>
  <r>
    <s v="ORD200330"/>
    <d v="2024-06-02T00:00:00"/>
    <s v="C38068"/>
    <s v="Desk"/>
    <x v="0"/>
    <n v="260.52999999999997"/>
    <s v="532 Main St"/>
    <s v="Gift Card"/>
    <s v="Pending"/>
    <s v="TRK54059198"/>
    <n v="5"/>
    <s v="SAVE10"/>
    <x v="0"/>
    <n v="1302.6500000000001"/>
    <x v="5"/>
  </r>
  <r>
    <s v="ORD200331"/>
    <d v="2023-04-15T00:00:00"/>
    <s v="C78724"/>
    <s v="Printer"/>
    <x v="4"/>
    <n v="422.13"/>
    <s v="187 Main St"/>
    <s v="Online"/>
    <s v="Delivered"/>
    <s v="TRK25703134"/>
    <n v="7"/>
    <s v="SAVE10"/>
    <x v="3"/>
    <n v="1266.3900000000001"/>
    <x v="6"/>
  </r>
  <r>
    <s v="ORD200332"/>
    <d v="2024-07-03T00:00:00"/>
    <s v="C26163"/>
    <s v="Desk"/>
    <x v="0"/>
    <n v="125.02"/>
    <s v="607 Main St"/>
    <s v="Debit Card"/>
    <s v="Pending"/>
    <s v="TRK67499316"/>
    <n v="9"/>
    <s v="SAVE10"/>
    <x v="4"/>
    <n v="625.1"/>
    <x v="10"/>
  </r>
  <r>
    <s v="ORD200333"/>
    <d v="2024-04-16T00:00:00"/>
    <s v="C87124"/>
    <s v="Phone"/>
    <x v="2"/>
    <n v="198.51"/>
    <s v="818 Main St"/>
    <s v="Credit Card"/>
    <s v="Returned"/>
    <s v="TRK52086740"/>
    <n v="5"/>
    <s v="WINTER15"/>
    <x v="0"/>
    <n v="198.51"/>
    <x v="6"/>
  </r>
  <r>
    <s v="ORD200334"/>
    <d v="2024-03-26T00:00:00"/>
    <s v="C90348"/>
    <s v="Chair"/>
    <x v="3"/>
    <n v="224.75"/>
    <s v="728 Main St"/>
    <s v="Online"/>
    <s v="Delivered"/>
    <s v="TRK20635777"/>
    <n v="7"/>
    <s v="WINTER15"/>
    <x v="3"/>
    <n v="899"/>
    <x v="9"/>
  </r>
  <r>
    <s v="ORD200335"/>
    <d v="2025-03-03T00:00:00"/>
    <s v="C58721"/>
    <s v="Tablet"/>
    <x v="4"/>
    <n v="205.86"/>
    <s v="978 Main St"/>
    <s v="Gift Card"/>
    <s v="Shipped"/>
    <s v="TRK34801199"/>
    <n v="4"/>
    <m/>
    <x v="2"/>
    <n v="617.58000000000004"/>
    <x v="9"/>
  </r>
  <r>
    <s v="ORD200336"/>
    <d v="2023-12-29T00:00:00"/>
    <s v="C88174"/>
    <s v="Laptop"/>
    <x v="2"/>
    <n v="18.2"/>
    <s v="441 Main St"/>
    <s v="Debit Card"/>
    <s v="Pending"/>
    <s v="TRK10143345"/>
    <n v="4"/>
    <s v="SAVE10"/>
    <x v="0"/>
    <n v="18.2"/>
    <x v="8"/>
  </r>
  <r>
    <s v="ORD200337"/>
    <d v="2023-05-29T00:00:00"/>
    <s v="C77763"/>
    <s v="Tablet"/>
    <x v="4"/>
    <n v="502.77"/>
    <s v="599 Main St"/>
    <s v="Debit Card"/>
    <s v="Returned"/>
    <s v="TRK66980447"/>
    <n v="8"/>
    <s v="WINTER15"/>
    <x v="2"/>
    <n v="1508.31"/>
    <x v="4"/>
  </r>
  <r>
    <s v="ORD200338"/>
    <d v="2023-11-08T00:00:00"/>
    <s v="C53627"/>
    <s v="Phone"/>
    <x v="0"/>
    <n v="305.49"/>
    <s v="704 Main St"/>
    <s v="Debit Card"/>
    <s v="Shipped"/>
    <s v="TRK64112352"/>
    <n v="10"/>
    <m/>
    <x v="1"/>
    <n v="1527.45"/>
    <x v="7"/>
  </r>
  <r>
    <s v="ORD200339"/>
    <d v="2024-04-10T00:00:00"/>
    <s v="C84563"/>
    <s v="Printer"/>
    <x v="1"/>
    <n v="236.33"/>
    <s v="398 Main St"/>
    <s v="Online"/>
    <s v="Pending"/>
    <s v="TRK62422797"/>
    <n v="3"/>
    <s v="SAVE10"/>
    <x v="0"/>
    <n v="472.66"/>
    <x v="6"/>
  </r>
  <r>
    <s v="ORD200340"/>
    <d v="2023-04-23T00:00:00"/>
    <s v="C76207"/>
    <s v="Laptop"/>
    <x v="0"/>
    <n v="521.25"/>
    <s v="826 Main St"/>
    <s v="Cash"/>
    <s v="Cancelled"/>
    <s v="TRK25569378"/>
    <n v="8"/>
    <m/>
    <x v="2"/>
    <n v="2606.25"/>
    <x v="6"/>
  </r>
  <r>
    <s v="ORD200341"/>
    <d v="2024-09-23T00:00:00"/>
    <s v="C94671"/>
    <s v="Tablet"/>
    <x v="2"/>
    <n v="167.15"/>
    <s v="293 Main St"/>
    <s v="Gift Card"/>
    <s v="Shipped"/>
    <s v="TRK61357272"/>
    <n v="5"/>
    <s v="WINTER15"/>
    <x v="2"/>
    <n v="167.15"/>
    <x v="11"/>
  </r>
  <r>
    <s v="ORD200342"/>
    <d v="2025-06-24T00:00:00"/>
    <s v="C69994"/>
    <s v="Monitor"/>
    <x v="0"/>
    <n v="466.42"/>
    <s v="619 Main St"/>
    <s v="Gift Card"/>
    <s v="Returned"/>
    <s v="TRK95935805"/>
    <n v="5"/>
    <m/>
    <x v="1"/>
    <n v="2332.1"/>
    <x v="5"/>
  </r>
  <r>
    <s v="ORD200343"/>
    <d v="2023-02-26T00:00:00"/>
    <s v="C64638"/>
    <s v="Printer"/>
    <x v="2"/>
    <n v="527.57000000000005"/>
    <s v="919 Main St"/>
    <s v="Debit Card"/>
    <s v="Pending"/>
    <s v="TRK64087938"/>
    <n v="3"/>
    <s v="FREESHIP"/>
    <x v="3"/>
    <n v="527.57000000000005"/>
    <x v="2"/>
  </r>
  <r>
    <s v="ORD200344"/>
    <d v="2025-03-06T00:00:00"/>
    <s v="C95623"/>
    <s v="Tablet"/>
    <x v="4"/>
    <n v="623.34"/>
    <s v="248 Main St"/>
    <s v="Online"/>
    <s v="Cancelled"/>
    <s v="TRK67558189"/>
    <n v="3"/>
    <s v="SAVE10"/>
    <x v="0"/>
    <n v="1870.02"/>
    <x v="9"/>
  </r>
  <r>
    <s v="ORD200345"/>
    <d v="2023-12-07T00:00:00"/>
    <s v="C24751"/>
    <s v="Tablet"/>
    <x v="0"/>
    <n v="501.26"/>
    <s v="259 Main St"/>
    <s v="Gift Card"/>
    <s v="Shipped"/>
    <s v="TRK37285406"/>
    <n v="10"/>
    <s v="FREESHIP"/>
    <x v="1"/>
    <n v="2506.3000000000002"/>
    <x v="8"/>
  </r>
  <r>
    <s v="ORD200346"/>
    <d v="2024-12-06T00:00:00"/>
    <s v="C31764"/>
    <s v="Tablet"/>
    <x v="2"/>
    <n v="655.09"/>
    <s v="876 Main St"/>
    <s v="Cash"/>
    <s v="Pending"/>
    <s v="TRK44680433"/>
    <n v="6"/>
    <m/>
    <x v="1"/>
    <n v="655.09"/>
    <x v="8"/>
  </r>
  <r>
    <s v="ORD200347"/>
    <d v="2024-02-03T00:00:00"/>
    <s v="C83556"/>
    <s v="Printer"/>
    <x v="3"/>
    <n v="264.79000000000002"/>
    <s v="380 Main St"/>
    <s v="Credit Card"/>
    <s v="Pending"/>
    <s v="TRK21109187"/>
    <n v="5"/>
    <s v="SAVE10"/>
    <x v="4"/>
    <n v="1059.1600000000001"/>
    <x v="2"/>
  </r>
  <r>
    <s v="ORD200348"/>
    <d v="2024-03-13T00:00:00"/>
    <s v="C24369"/>
    <s v="Laptop"/>
    <x v="4"/>
    <n v="359.73"/>
    <s v="885 Main St"/>
    <s v="Debit Card"/>
    <s v="Returned"/>
    <s v="TRK72633998"/>
    <n v="7"/>
    <s v="FREESHIP"/>
    <x v="2"/>
    <n v="1079.19"/>
    <x v="9"/>
  </r>
  <r>
    <s v="ORD200349"/>
    <d v="2023-11-30T00:00:00"/>
    <s v="C39648"/>
    <s v="Chair"/>
    <x v="2"/>
    <n v="465.33"/>
    <s v="824 Main St"/>
    <s v="Gift Card"/>
    <s v="Delivered"/>
    <s v="TRK56016905"/>
    <n v="2"/>
    <s v="FREESHIP"/>
    <x v="4"/>
    <n v="465.33"/>
    <x v="7"/>
  </r>
  <r>
    <s v="ORD200350"/>
    <d v="2023-06-03T00:00:00"/>
    <s v="C13296"/>
    <s v="Chair"/>
    <x v="1"/>
    <n v="54.41"/>
    <s v="495 Main St"/>
    <s v="Online"/>
    <s v="Shipped"/>
    <s v="TRK60127216"/>
    <n v="6"/>
    <m/>
    <x v="0"/>
    <n v="108.82"/>
    <x v="5"/>
  </r>
  <r>
    <s v="ORD200351"/>
    <d v="2025-02-15T00:00:00"/>
    <s v="C94248"/>
    <s v="Laptop"/>
    <x v="2"/>
    <n v="64.66"/>
    <s v="494 Main St"/>
    <s v="Debit Card"/>
    <s v="Delivered"/>
    <s v="TRK89406816"/>
    <n v="4"/>
    <m/>
    <x v="0"/>
    <n v="64.66"/>
    <x v="2"/>
  </r>
  <r>
    <s v="ORD200352"/>
    <d v="2023-08-31T00:00:00"/>
    <s v="C26637"/>
    <s v="Chair"/>
    <x v="0"/>
    <n v="173.96"/>
    <s v="995 Main St"/>
    <s v="Debit Card"/>
    <s v="Pending"/>
    <s v="TRK59546992"/>
    <n v="8"/>
    <s v="WINTER15"/>
    <x v="0"/>
    <n v="869.80000000000007"/>
    <x v="1"/>
  </r>
  <r>
    <s v="ORD200353"/>
    <d v="2025-03-28T00:00:00"/>
    <s v="C16012"/>
    <s v="Tablet"/>
    <x v="2"/>
    <n v="630.82000000000005"/>
    <s v="171 Main St"/>
    <s v="Online"/>
    <s v="Delivered"/>
    <s v="TRK15195225"/>
    <n v="5"/>
    <s v="FREESHIP"/>
    <x v="4"/>
    <n v="630.82000000000005"/>
    <x v="9"/>
  </r>
  <r>
    <s v="ORD200354"/>
    <d v="2023-07-11T00:00:00"/>
    <s v="C31772"/>
    <s v="Phone"/>
    <x v="2"/>
    <n v="693.41"/>
    <s v="992 Main St"/>
    <s v="Debit Card"/>
    <s v="Shipped"/>
    <s v="TRK11970357"/>
    <n v="4"/>
    <m/>
    <x v="0"/>
    <n v="693.41"/>
    <x v="10"/>
  </r>
  <r>
    <s v="ORD200355"/>
    <d v="2025-06-03T00:00:00"/>
    <s v="C18353"/>
    <s v="Tablet"/>
    <x v="4"/>
    <n v="433.33"/>
    <s v="677 Main St"/>
    <s v="Credit Card"/>
    <s v="Cancelled"/>
    <s v="TRK78766533"/>
    <n v="4"/>
    <s v="FREESHIP"/>
    <x v="1"/>
    <n v="1299.99"/>
    <x v="5"/>
  </r>
  <r>
    <s v="ORD200356"/>
    <d v="2023-05-06T00:00:00"/>
    <s v="C26966"/>
    <s v="Printer"/>
    <x v="0"/>
    <n v="374.58"/>
    <s v="907 Main St"/>
    <s v="Gift Card"/>
    <s v="Cancelled"/>
    <s v="TRK83889574"/>
    <n v="10"/>
    <s v="FREESHIP"/>
    <x v="0"/>
    <n v="1872.9"/>
    <x v="4"/>
  </r>
  <r>
    <s v="ORD200357"/>
    <d v="2023-07-08T00:00:00"/>
    <s v="C74982"/>
    <s v="Laptop"/>
    <x v="0"/>
    <n v="408.56"/>
    <s v="398 Main St"/>
    <s v="Debit Card"/>
    <s v="Delivered"/>
    <s v="TRK98700702"/>
    <n v="8"/>
    <s v="FREESHIP"/>
    <x v="0"/>
    <n v="2042.8"/>
    <x v="10"/>
  </r>
  <r>
    <s v="ORD200358"/>
    <d v="2024-04-07T00:00:00"/>
    <s v="C70633"/>
    <s v="Tablet"/>
    <x v="1"/>
    <n v="183.67"/>
    <s v="747 Main St"/>
    <s v="Online"/>
    <s v="Cancelled"/>
    <s v="TRK82540521"/>
    <n v="3"/>
    <s v="SAVE10"/>
    <x v="4"/>
    <n v="367.34"/>
    <x v="6"/>
  </r>
  <r>
    <s v="ORD200359"/>
    <d v="2023-06-09T00:00:00"/>
    <s v="C95643"/>
    <s v="Desk"/>
    <x v="3"/>
    <n v="606.57000000000005"/>
    <s v="303 Main St"/>
    <s v="Debit Card"/>
    <s v="Delivered"/>
    <s v="TRK23286689"/>
    <n v="5"/>
    <s v="WINTER15"/>
    <x v="1"/>
    <n v="2426.2800000000002"/>
    <x v="5"/>
  </r>
  <r>
    <s v="ORD200360"/>
    <d v="2024-06-06T00:00:00"/>
    <s v="C53810"/>
    <s v="Phone"/>
    <x v="3"/>
    <n v="589.57000000000005"/>
    <s v="779 Main St"/>
    <s v="Cash"/>
    <s v="Pending"/>
    <s v="TRK34630612"/>
    <n v="8"/>
    <m/>
    <x v="0"/>
    <n v="2358.2800000000002"/>
    <x v="5"/>
  </r>
  <r>
    <s v="ORD200361"/>
    <d v="2024-06-29T00:00:00"/>
    <s v="C53464"/>
    <s v="Printer"/>
    <x v="0"/>
    <n v="659.85"/>
    <s v="197 Main St"/>
    <s v="Credit Card"/>
    <s v="Delivered"/>
    <s v="TRK32743531"/>
    <n v="9"/>
    <s v="SAVE10"/>
    <x v="3"/>
    <n v="3299.25"/>
    <x v="5"/>
  </r>
  <r>
    <s v="ORD200362"/>
    <d v="2023-06-27T00:00:00"/>
    <s v="C53697"/>
    <s v="Monitor"/>
    <x v="3"/>
    <n v="206.84"/>
    <s v="312 Main St"/>
    <s v="Cash"/>
    <s v="Cancelled"/>
    <s v="TRK60476656"/>
    <n v="5"/>
    <s v="WINTER15"/>
    <x v="0"/>
    <n v="827.36"/>
    <x v="5"/>
  </r>
  <r>
    <s v="ORD200363"/>
    <d v="2024-05-24T00:00:00"/>
    <s v="C31668"/>
    <s v="Laptop"/>
    <x v="0"/>
    <n v="113.87"/>
    <s v="871 Main St"/>
    <s v="Credit Card"/>
    <s v="Pending"/>
    <s v="TRK42584392"/>
    <n v="6"/>
    <s v="SAVE10"/>
    <x v="2"/>
    <n v="569.35"/>
    <x v="4"/>
  </r>
  <r>
    <s v="ORD200364"/>
    <d v="2023-11-24T00:00:00"/>
    <s v="C85282"/>
    <s v="Phone"/>
    <x v="0"/>
    <n v="628.74"/>
    <s v="740 Main St"/>
    <s v="Cash"/>
    <s v="Cancelled"/>
    <s v="TRK86767206"/>
    <n v="9"/>
    <s v="FREESHIP"/>
    <x v="3"/>
    <n v="3143.7"/>
    <x v="7"/>
  </r>
  <r>
    <s v="ORD200365"/>
    <d v="2025-02-14T00:00:00"/>
    <s v="C56796"/>
    <s v="Phone"/>
    <x v="2"/>
    <n v="678.38"/>
    <s v="607 Main St"/>
    <s v="Credit Card"/>
    <s v="Cancelled"/>
    <s v="TRK74263180"/>
    <n v="4"/>
    <s v="SAVE10"/>
    <x v="1"/>
    <n v="678.38"/>
    <x v="2"/>
  </r>
  <r>
    <s v="ORD200366"/>
    <d v="2023-02-10T00:00:00"/>
    <s v="C95213"/>
    <s v="Printer"/>
    <x v="4"/>
    <n v="602.24"/>
    <s v="603 Main St"/>
    <s v="Debit Card"/>
    <s v="Pending"/>
    <s v="TRK40630538"/>
    <n v="8"/>
    <m/>
    <x v="1"/>
    <n v="1806.72"/>
    <x v="2"/>
  </r>
  <r>
    <s v="ORD200367"/>
    <d v="2024-04-25T00:00:00"/>
    <s v="C13108"/>
    <s v="Laptop"/>
    <x v="0"/>
    <n v="658.77"/>
    <s v="712 Main St"/>
    <s v="Gift Card"/>
    <s v="Pending"/>
    <s v="TRK82284400"/>
    <n v="10"/>
    <s v="FREESHIP"/>
    <x v="0"/>
    <n v="3293.85"/>
    <x v="6"/>
  </r>
  <r>
    <s v="ORD200368"/>
    <d v="2023-05-01T00:00:00"/>
    <s v="C85322"/>
    <s v="Monitor"/>
    <x v="4"/>
    <n v="271.02"/>
    <s v="403 Main St"/>
    <s v="Credit Card"/>
    <s v="Cancelled"/>
    <s v="TRK89728869"/>
    <n v="6"/>
    <m/>
    <x v="4"/>
    <n v="813.06"/>
    <x v="4"/>
  </r>
  <r>
    <s v="ORD200369"/>
    <d v="2024-12-22T00:00:00"/>
    <s v="C43545"/>
    <s v="Monitor"/>
    <x v="0"/>
    <n v="375.25"/>
    <s v="216 Main St"/>
    <s v="Gift Card"/>
    <s v="Pending"/>
    <s v="TRK73937402"/>
    <n v="9"/>
    <s v="SAVE10"/>
    <x v="2"/>
    <n v="1876.25"/>
    <x v="8"/>
  </r>
  <r>
    <s v="ORD200370"/>
    <d v="2025-05-03T00:00:00"/>
    <s v="C80649"/>
    <s v="Phone"/>
    <x v="2"/>
    <n v="312.11"/>
    <s v="870 Main St"/>
    <s v="Online"/>
    <s v="Cancelled"/>
    <s v="TRK41143313"/>
    <n v="4"/>
    <s v="WINTER15"/>
    <x v="3"/>
    <n v="312.11"/>
    <x v="4"/>
  </r>
  <r>
    <s v="ORD200371"/>
    <d v="2023-01-05T00:00:00"/>
    <s v="C59752"/>
    <s v="Phone"/>
    <x v="0"/>
    <n v="307.76"/>
    <s v="179 Main St"/>
    <s v="Gift Card"/>
    <s v="Pending"/>
    <s v="TRK82229639"/>
    <n v="9"/>
    <s v="FREESHIP"/>
    <x v="4"/>
    <n v="1538.8"/>
    <x v="0"/>
  </r>
  <r>
    <s v="ORD200372"/>
    <d v="2025-02-14T00:00:00"/>
    <s v="C53645"/>
    <s v="Chair"/>
    <x v="4"/>
    <n v="483.53"/>
    <s v="166 Main St"/>
    <s v="Cash"/>
    <s v="Returned"/>
    <s v="TRK12123939"/>
    <n v="4"/>
    <m/>
    <x v="1"/>
    <n v="1450.59"/>
    <x v="2"/>
  </r>
  <r>
    <s v="ORD200373"/>
    <d v="2023-01-02T00:00:00"/>
    <s v="C60178"/>
    <s v="Laptop"/>
    <x v="4"/>
    <n v="341.15"/>
    <s v="969 Main St"/>
    <s v="Cash"/>
    <s v="Pending"/>
    <s v="TRK84505143"/>
    <n v="4"/>
    <s v="FREESHIP"/>
    <x v="0"/>
    <n v="1023.45"/>
    <x v="0"/>
  </r>
  <r>
    <s v="ORD200374"/>
    <d v="2024-09-16T00:00:00"/>
    <s v="C20286"/>
    <s v="Monitor"/>
    <x v="2"/>
    <n v="571.9"/>
    <s v="129 Main St"/>
    <s v="Gift Card"/>
    <s v="Pending"/>
    <s v="TRK67648338"/>
    <n v="1"/>
    <s v="WINTER15"/>
    <x v="0"/>
    <n v="571.9"/>
    <x v="11"/>
  </r>
  <r>
    <s v="ORD200375"/>
    <d v="2025-01-16T00:00:00"/>
    <s v="C87547"/>
    <s v="Monitor"/>
    <x v="3"/>
    <n v="95.03"/>
    <s v="400 Main St"/>
    <s v="Online"/>
    <s v="Shipped"/>
    <s v="TRK71027262"/>
    <n v="8"/>
    <s v="FREESHIP"/>
    <x v="3"/>
    <n v="380.12"/>
    <x v="0"/>
  </r>
  <r>
    <s v="ORD200376"/>
    <d v="2023-08-24T00:00:00"/>
    <s v="C64549"/>
    <s v="Monitor"/>
    <x v="0"/>
    <n v="201.22"/>
    <s v="341 Main St"/>
    <s v="Debit Card"/>
    <s v="Pending"/>
    <s v="TRK20788231"/>
    <n v="6"/>
    <s v="FREESHIP"/>
    <x v="3"/>
    <n v="1006.1"/>
    <x v="1"/>
  </r>
  <r>
    <s v="ORD200377"/>
    <d v="2024-07-22T00:00:00"/>
    <s v="C24884"/>
    <s v="Monitor"/>
    <x v="2"/>
    <n v="260.26"/>
    <s v="625 Main St"/>
    <s v="Online"/>
    <s v="Pending"/>
    <s v="TRK44538419"/>
    <n v="5"/>
    <s v="WINTER15"/>
    <x v="0"/>
    <n v="260.26"/>
    <x v="10"/>
  </r>
  <r>
    <s v="ORD200378"/>
    <d v="2024-02-01T00:00:00"/>
    <s v="C62666"/>
    <s v="Chair"/>
    <x v="0"/>
    <n v="64.5"/>
    <s v="148 Main St"/>
    <s v="Credit Card"/>
    <s v="Pending"/>
    <s v="TRK91029390"/>
    <n v="8"/>
    <s v="WINTER15"/>
    <x v="0"/>
    <n v="322.5"/>
    <x v="2"/>
  </r>
  <r>
    <s v="ORD200379"/>
    <d v="2024-09-21T00:00:00"/>
    <s v="C47284"/>
    <s v="Phone"/>
    <x v="4"/>
    <n v="297.67"/>
    <s v="500 Main St"/>
    <s v="Online"/>
    <s v="Shipped"/>
    <s v="TRK85756094"/>
    <n v="6"/>
    <m/>
    <x v="4"/>
    <n v="893.01"/>
    <x v="11"/>
  </r>
  <r>
    <s v="ORD200380"/>
    <d v="2024-04-20T00:00:00"/>
    <s v="C35355"/>
    <s v="Printer"/>
    <x v="3"/>
    <n v="331.9"/>
    <s v="127 Main St"/>
    <s v="Cash"/>
    <s v="Pending"/>
    <s v="TRK52935059"/>
    <n v="5"/>
    <s v="SAVE10"/>
    <x v="0"/>
    <n v="1327.6"/>
    <x v="6"/>
  </r>
  <r>
    <s v="ORD200381"/>
    <d v="2023-06-07T00:00:00"/>
    <s v="C29467"/>
    <s v="Chair"/>
    <x v="2"/>
    <n v="191.76"/>
    <s v="223 Main St"/>
    <s v="Credit Card"/>
    <s v="Returned"/>
    <s v="TRK98103385"/>
    <n v="1"/>
    <s v="FREESHIP"/>
    <x v="0"/>
    <n v="191.76"/>
    <x v="5"/>
  </r>
  <r>
    <s v="ORD200382"/>
    <d v="2025-01-30T00:00:00"/>
    <s v="C26718"/>
    <s v="Printer"/>
    <x v="3"/>
    <n v="263.08999999999997"/>
    <s v="272 Main St"/>
    <s v="Debit Card"/>
    <s v="Shipped"/>
    <s v="TRK91702525"/>
    <n v="8"/>
    <s v="SAVE10"/>
    <x v="4"/>
    <n v="1052.3599999999999"/>
    <x v="0"/>
  </r>
  <r>
    <s v="ORD200383"/>
    <d v="2023-01-20T00:00:00"/>
    <s v="C18944"/>
    <s v="Chair"/>
    <x v="3"/>
    <n v="393.8"/>
    <s v="837 Main St"/>
    <s v="Credit Card"/>
    <s v="Pending"/>
    <s v="TRK45275439"/>
    <n v="7"/>
    <s v="SAVE10"/>
    <x v="2"/>
    <n v="1575.2"/>
    <x v="0"/>
  </r>
  <r>
    <s v="ORD200384"/>
    <d v="2024-11-24T00:00:00"/>
    <s v="C35628"/>
    <s v="Chair"/>
    <x v="4"/>
    <n v="553.57000000000005"/>
    <s v="147 Main St"/>
    <s v="Credit Card"/>
    <s v="Returned"/>
    <s v="TRK45688220"/>
    <n v="4"/>
    <s v="FREESHIP"/>
    <x v="3"/>
    <n v="1660.71"/>
    <x v="7"/>
  </r>
  <r>
    <s v="ORD200385"/>
    <d v="2023-10-31T00:00:00"/>
    <s v="C56851"/>
    <s v="Chair"/>
    <x v="0"/>
    <n v="191.63"/>
    <s v="752 Main St"/>
    <s v="Gift Card"/>
    <s v="Delivered"/>
    <s v="TRK65290904"/>
    <n v="6"/>
    <s v="FREESHIP"/>
    <x v="3"/>
    <n v="958.15"/>
    <x v="3"/>
  </r>
  <r>
    <s v="ORD200386"/>
    <d v="2023-04-28T00:00:00"/>
    <s v="C12421"/>
    <s v="Tablet"/>
    <x v="2"/>
    <n v="93.02"/>
    <s v="373 Main St"/>
    <s v="Online"/>
    <s v="Returned"/>
    <s v="TRK32588504"/>
    <n v="4"/>
    <m/>
    <x v="2"/>
    <n v="93.02"/>
    <x v="6"/>
  </r>
  <r>
    <s v="ORD200387"/>
    <d v="2024-06-27T00:00:00"/>
    <s v="C25316"/>
    <s v="Printer"/>
    <x v="1"/>
    <n v="39.53"/>
    <s v="904 Main St"/>
    <s v="Credit Card"/>
    <s v="Shipped"/>
    <s v="TRK55423551"/>
    <n v="3"/>
    <s v="WINTER15"/>
    <x v="4"/>
    <n v="79.06"/>
    <x v="5"/>
  </r>
  <r>
    <s v="ORD200388"/>
    <d v="2023-12-28T00:00:00"/>
    <s v="C22657"/>
    <s v="Printer"/>
    <x v="4"/>
    <n v="633.97"/>
    <s v="152 Main St"/>
    <s v="Cash"/>
    <s v="Pending"/>
    <s v="TRK49157047"/>
    <n v="7"/>
    <s v="WINTER15"/>
    <x v="3"/>
    <n v="1901.91"/>
    <x v="8"/>
  </r>
  <r>
    <s v="ORD200389"/>
    <d v="2023-12-17T00:00:00"/>
    <s v="C29703"/>
    <s v="Desk"/>
    <x v="3"/>
    <n v="697.5"/>
    <s v="558 Main St"/>
    <s v="Cash"/>
    <s v="Shipped"/>
    <s v="TRK40543461"/>
    <n v="7"/>
    <s v="FREESHIP"/>
    <x v="1"/>
    <n v="2790"/>
    <x v="8"/>
  </r>
  <r>
    <s v="ORD200390"/>
    <d v="2023-07-14T00:00:00"/>
    <s v="C55996"/>
    <s v="Printer"/>
    <x v="0"/>
    <n v="508.69"/>
    <s v="885 Main St"/>
    <s v="Cash"/>
    <s v="Delivered"/>
    <s v="TRK30547638"/>
    <n v="10"/>
    <s v="FREESHIP"/>
    <x v="4"/>
    <n v="2543.4499999999998"/>
    <x v="10"/>
  </r>
  <r>
    <s v="ORD200391"/>
    <d v="2025-01-16T00:00:00"/>
    <s v="C60037"/>
    <s v="Laptop"/>
    <x v="1"/>
    <n v="527.46"/>
    <s v="516 Main St"/>
    <s v="Debit Card"/>
    <s v="Cancelled"/>
    <s v="TRK82009557"/>
    <n v="3"/>
    <s v="FREESHIP"/>
    <x v="1"/>
    <n v="1054.92"/>
    <x v="0"/>
  </r>
  <r>
    <s v="ORD200392"/>
    <d v="2024-02-28T00:00:00"/>
    <s v="C95100"/>
    <s v="Phone"/>
    <x v="2"/>
    <n v="627.20000000000005"/>
    <s v="197 Main St"/>
    <s v="Online"/>
    <s v="Delivered"/>
    <s v="TRK47366265"/>
    <n v="1"/>
    <s v="WINTER15"/>
    <x v="2"/>
    <n v="627.20000000000005"/>
    <x v="2"/>
  </r>
  <r>
    <s v="ORD200393"/>
    <d v="2024-07-14T00:00:00"/>
    <s v="C39906"/>
    <s v="Printer"/>
    <x v="2"/>
    <n v="75.010000000000005"/>
    <s v="921 Main St"/>
    <s v="Credit Card"/>
    <s v="Returned"/>
    <s v="TRK24632134"/>
    <n v="3"/>
    <m/>
    <x v="4"/>
    <n v="75.010000000000005"/>
    <x v="10"/>
  </r>
  <r>
    <s v="ORD200394"/>
    <d v="2023-07-05T00:00:00"/>
    <s v="C70148"/>
    <s v="Desk"/>
    <x v="0"/>
    <n v="529.54999999999995"/>
    <s v="359 Main St"/>
    <s v="Gift Card"/>
    <s v="Shipped"/>
    <s v="TRK34848650"/>
    <n v="10"/>
    <m/>
    <x v="3"/>
    <n v="2647.75"/>
    <x v="10"/>
  </r>
  <r>
    <s v="ORD200395"/>
    <d v="2025-04-25T00:00:00"/>
    <s v="C30010"/>
    <s v="Phone"/>
    <x v="4"/>
    <n v="127.41"/>
    <s v="830 Main St"/>
    <s v="Gift Card"/>
    <s v="Delivered"/>
    <s v="TRK35386084"/>
    <n v="7"/>
    <s v="SAVE10"/>
    <x v="1"/>
    <n v="382.23"/>
    <x v="6"/>
  </r>
  <r>
    <s v="ORD200396"/>
    <d v="2023-12-01T00:00:00"/>
    <s v="C99217"/>
    <s v="Tablet"/>
    <x v="0"/>
    <n v="287.13"/>
    <s v="778 Main St"/>
    <s v="Online"/>
    <s v="Shipped"/>
    <s v="TRK82004594"/>
    <n v="10"/>
    <s v="SAVE10"/>
    <x v="2"/>
    <n v="1435.65"/>
    <x v="8"/>
  </r>
  <r>
    <s v="ORD200397"/>
    <d v="2023-09-28T00:00:00"/>
    <s v="C30184"/>
    <s v="Monitor"/>
    <x v="2"/>
    <n v="427.06"/>
    <s v="987 Main St"/>
    <s v="Online"/>
    <s v="Cancelled"/>
    <s v="TRK86674704"/>
    <n v="1"/>
    <s v="WINTER15"/>
    <x v="1"/>
    <n v="427.06"/>
    <x v="11"/>
  </r>
  <r>
    <s v="ORD200398"/>
    <d v="2024-09-04T00:00:00"/>
    <s v="C50275"/>
    <s v="Phone"/>
    <x v="0"/>
    <n v="53.93"/>
    <s v="729 Main St"/>
    <s v="Gift Card"/>
    <s v="Shipped"/>
    <s v="TRK98925264"/>
    <n v="7"/>
    <s v="SAVE10"/>
    <x v="0"/>
    <n v="269.64999999999998"/>
    <x v="11"/>
  </r>
  <r>
    <s v="ORD200399"/>
    <d v="2024-01-07T00:00:00"/>
    <s v="C64641"/>
    <s v="Tablet"/>
    <x v="0"/>
    <n v="423.93"/>
    <s v="319 Main St"/>
    <s v="Debit Card"/>
    <s v="Returned"/>
    <s v="TRK32012588"/>
    <n v="5"/>
    <s v="FREESHIP"/>
    <x v="3"/>
    <n v="2119.65"/>
    <x v="0"/>
  </r>
  <r>
    <s v="ORD200400"/>
    <d v="2024-09-28T00:00:00"/>
    <s v="C56266"/>
    <s v="Desk"/>
    <x v="3"/>
    <n v="160.22"/>
    <s v="304 Main St"/>
    <s v="Debit Card"/>
    <s v="Returned"/>
    <s v="TRK60088901"/>
    <n v="9"/>
    <s v="WINTER15"/>
    <x v="0"/>
    <n v="640.88"/>
    <x v="11"/>
  </r>
  <r>
    <s v="ORD200401"/>
    <d v="2025-04-09T00:00:00"/>
    <s v="C98635"/>
    <s v="Printer"/>
    <x v="2"/>
    <n v="538.67999999999995"/>
    <s v="197 Main St"/>
    <s v="Debit Card"/>
    <s v="Returned"/>
    <s v="TRK14225465"/>
    <n v="6"/>
    <m/>
    <x v="1"/>
    <n v="538.67999999999995"/>
    <x v="6"/>
  </r>
  <r>
    <s v="ORD200402"/>
    <d v="2023-04-09T00:00:00"/>
    <s v="C83026"/>
    <s v="Printer"/>
    <x v="0"/>
    <n v="337.38"/>
    <s v="858 Main St"/>
    <s v="Gift Card"/>
    <s v="Shipped"/>
    <s v="TRK79746259"/>
    <n v="5"/>
    <m/>
    <x v="1"/>
    <n v="1686.9"/>
    <x v="6"/>
  </r>
  <r>
    <s v="ORD200403"/>
    <d v="2024-11-10T00:00:00"/>
    <s v="C28893"/>
    <s v="Tablet"/>
    <x v="2"/>
    <n v="620.21"/>
    <s v="740 Main St"/>
    <s v="Online"/>
    <s v="Returned"/>
    <s v="TRK98333066"/>
    <n v="1"/>
    <s v="FREESHIP"/>
    <x v="1"/>
    <n v="620.21"/>
    <x v="7"/>
  </r>
  <r>
    <s v="ORD200404"/>
    <d v="2023-03-09T00:00:00"/>
    <s v="C45482"/>
    <s v="Monitor"/>
    <x v="1"/>
    <n v="99.1"/>
    <s v="440 Main St"/>
    <s v="Cash"/>
    <s v="Delivered"/>
    <s v="TRK54571699"/>
    <n v="6"/>
    <m/>
    <x v="0"/>
    <n v="198.2"/>
    <x v="9"/>
  </r>
  <r>
    <s v="ORD200405"/>
    <d v="2025-01-26T00:00:00"/>
    <s v="C97774"/>
    <s v="Monitor"/>
    <x v="3"/>
    <n v="451.97"/>
    <s v="603 Main St"/>
    <s v="Online"/>
    <s v="Cancelled"/>
    <s v="TRK64664424"/>
    <n v="7"/>
    <s v="WINTER15"/>
    <x v="2"/>
    <n v="1807.88"/>
    <x v="0"/>
  </r>
  <r>
    <s v="ORD200406"/>
    <d v="2023-12-10T00:00:00"/>
    <s v="C11657"/>
    <s v="Tablet"/>
    <x v="3"/>
    <n v="66.099999999999994"/>
    <s v="572 Main St"/>
    <s v="Cash"/>
    <s v="Returned"/>
    <s v="TRK50284486"/>
    <n v="9"/>
    <s v="WINTER15"/>
    <x v="4"/>
    <n v="264.39999999999998"/>
    <x v="8"/>
  </r>
  <r>
    <s v="ORD200407"/>
    <d v="2023-08-13T00:00:00"/>
    <s v="C85993"/>
    <s v="Tablet"/>
    <x v="3"/>
    <n v="547.32000000000005"/>
    <s v="250 Main St"/>
    <s v="Cash"/>
    <s v="Returned"/>
    <s v="TRK72547640"/>
    <n v="8"/>
    <s v="FREESHIP"/>
    <x v="0"/>
    <n v="2189.2800000000002"/>
    <x v="1"/>
  </r>
  <r>
    <s v="ORD200408"/>
    <d v="2025-01-01T00:00:00"/>
    <s v="C11906"/>
    <s v="Printer"/>
    <x v="4"/>
    <n v="412.53"/>
    <s v="536 Main St"/>
    <s v="Online"/>
    <s v="Pending"/>
    <s v="TRK31140158"/>
    <n v="6"/>
    <s v="WINTER15"/>
    <x v="4"/>
    <n v="1237.5899999999999"/>
    <x v="0"/>
  </r>
  <r>
    <s v="ORD200409"/>
    <d v="2023-06-28T00:00:00"/>
    <s v="C45187"/>
    <s v="Desk"/>
    <x v="0"/>
    <n v="84.13"/>
    <s v="767 Main St"/>
    <s v="Online"/>
    <s v="Delivered"/>
    <s v="TRK12320793"/>
    <n v="9"/>
    <s v="SAVE10"/>
    <x v="4"/>
    <n v="420.65"/>
    <x v="5"/>
  </r>
  <r>
    <s v="ORD200410"/>
    <d v="2024-01-18T00:00:00"/>
    <s v="C37375"/>
    <s v="Tablet"/>
    <x v="1"/>
    <n v="518.23"/>
    <s v="184 Main St"/>
    <s v="Debit Card"/>
    <s v="Shipped"/>
    <s v="TRK52470162"/>
    <n v="5"/>
    <m/>
    <x v="2"/>
    <n v="1036.46"/>
    <x v="0"/>
  </r>
  <r>
    <s v="ORD200411"/>
    <d v="2024-06-19T00:00:00"/>
    <s v="C66567"/>
    <s v="Desk"/>
    <x v="1"/>
    <n v="39.51"/>
    <s v="981 Main St"/>
    <s v="Online"/>
    <s v="Shipped"/>
    <s v="TRK21174822"/>
    <n v="5"/>
    <m/>
    <x v="3"/>
    <n v="79.02"/>
    <x v="5"/>
  </r>
  <r>
    <s v="ORD200412"/>
    <d v="2025-04-11T00:00:00"/>
    <s v="C42451"/>
    <s v="Tablet"/>
    <x v="0"/>
    <n v="133.01"/>
    <s v="246 Main St"/>
    <s v="Credit Card"/>
    <s v="Returned"/>
    <s v="TRK31313343"/>
    <n v="10"/>
    <m/>
    <x v="3"/>
    <n v="665.05"/>
    <x v="6"/>
  </r>
  <r>
    <s v="ORD200413"/>
    <d v="2023-10-08T00:00:00"/>
    <s v="C13923"/>
    <s v="Tablet"/>
    <x v="2"/>
    <n v="118.8"/>
    <s v="123 Main St"/>
    <s v="Online"/>
    <s v="Delivered"/>
    <s v="TRK87598790"/>
    <n v="6"/>
    <s v="SAVE10"/>
    <x v="2"/>
    <n v="118.8"/>
    <x v="3"/>
  </r>
  <r>
    <s v="ORD200414"/>
    <d v="2025-05-04T00:00:00"/>
    <s v="C11829"/>
    <s v="Desk"/>
    <x v="1"/>
    <n v="139.57"/>
    <s v="797 Main St"/>
    <s v="Cash"/>
    <s v="Delivered"/>
    <s v="TRK84229257"/>
    <n v="4"/>
    <s v="WINTER15"/>
    <x v="3"/>
    <n v="279.14"/>
    <x v="4"/>
  </r>
  <r>
    <s v="ORD200415"/>
    <d v="2025-04-06T00:00:00"/>
    <s v="C62169"/>
    <s v="Chair"/>
    <x v="2"/>
    <n v="184.15"/>
    <s v="655 Main St"/>
    <s v="Gift Card"/>
    <s v="Shipped"/>
    <s v="TRK64558985"/>
    <n v="5"/>
    <s v="FREESHIP"/>
    <x v="3"/>
    <n v="184.15"/>
    <x v="6"/>
  </r>
  <r>
    <s v="ORD200416"/>
    <d v="2023-07-18T00:00:00"/>
    <s v="C20881"/>
    <s v="Laptop"/>
    <x v="1"/>
    <n v="644.04999999999995"/>
    <s v="652 Main St"/>
    <s v="Gift Card"/>
    <s v="Cancelled"/>
    <s v="TRK26263902"/>
    <n v="5"/>
    <s v="WINTER15"/>
    <x v="1"/>
    <n v="1288.0999999999999"/>
    <x v="10"/>
  </r>
  <r>
    <s v="ORD200417"/>
    <d v="2023-10-24T00:00:00"/>
    <s v="C44492"/>
    <s v="Laptop"/>
    <x v="0"/>
    <n v="55.41"/>
    <s v="954 Main St"/>
    <s v="Online"/>
    <s v="Cancelled"/>
    <s v="TRK51429869"/>
    <n v="5"/>
    <m/>
    <x v="4"/>
    <n v="277.05"/>
    <x v="3"/>
  </r>
  <r>
    <s v="ORD200418"/>
    <d v="2023-01-11T00:00:00"/>
    <s v="C74169"/>
    <s v="Printer"/>
    <x v="2"/>
    <n v="310.93"/>
    <s v="862 Main St"/>
    <s v="Online"/>
    <s v="Cancelled"/>
    <s v="TRK66144809"/>
    <n v="3"/>
    <m/>
    <x v="3"/>
    <n v="310.93"/>
    <x v="0"/>
  </r>
  <r>
    <s v="ORD200419"/>
    <d v="2024-04-17T00:00:00"/>
    <s v="C70999"/>
    <s v="Tablet"/>
    <x v="1"/>
    <n v="216.66"/>
    <s v="885 Main St"/>
    <s v="Debit Card"/>
    <s v="Pending"/>
    <s v="TRK75644156"/>
    <n v="6"/>
    <s v="FREESHIP"/>
    <x v="0"/>
    <n v="433.32"/>
    <x v="6"/>
  </r>
  <r>
    <s v="ORD200420"/>
    <d v="2024-11-29T00:00:00"/>
    <s v="C11921"/>
    <s v="Phone"/>
    <x v="2"/>
    <n v="452.7"/>
    <s v="439 Main St"/>
    <s v="Debit Card"/>
    <s v="Shipped"/>
    <s v="TRK91362635"/>
    <n v="5"/>
    <s v="FREESHIP"/>
    <x v="0"/>
    <n v="452.7"/>
    <x v="7"/>
  </r>
  <r>
    <s v="ORD200421"/>
    <d v="2023-10-15T00:00:00"/>
    <s v="C50683"/>
    <s v="Chair"/>
    <x v="1"/>
    <n v="288.20999999999998"/>
    <s v="769 Main St"/>
    <s v="Debit Card"/>
    <s v="Cancelled"/>
    <s v="TRK53032122"/>
    <n v="5"/>
    <m/>
    <x v="2"/>
    <n v="576.41999999999996"/>
    <x v="3"/>
  </r>
  <r>
    <s v="ORD200422"/>
    <d v="2023-06-05T00:00:00"/>
    <s v="C76140"/>
    <s v="Phone"/>
    <x v="3"/>
    <n v="206.6"/>
    <s v="914 Main St"/>
    <s v="Gift Card"/>
    <s v="Returned"/>
    <s v="TRK25861469"/>
    <n v="6"/>
    <s v="WINTER15"/>
    <x v="1"/>
    <n v="826.4"/>
    <x v="5"/>
  </r>
  <r>
    <s v="ORD200423"/>
    <d v="2024-07-20T00:00:00"/>
    <s v="C94311"/>
    <s v="Printer"/>
    <x v="3"/>
    <n v="685.2"/>
    <s v="195 Main St"/>
    <s v="Gift Card"/>
    <s v="Cancelled"/>
    <s v="TRK97308771"/>
    <n v="6"/>
    <s v="WINTER15"/>
    <x v="4"/>
    <n v="2740.8"/>
    <x v="10"/>
  </r>
  <r>
    <s v="ORD200424"/>
    <d v="2023-04-12T00:00:00"/>
    <s v="C49491"/>
    <s v="Chair"/>
    <x v="0"/>
    <n v="22.94"/>
    <s v="339 Main St"/>
    <s v="Cash"/>
    <s v="Pending"/>
    <s v="TRK64012257"/>
    <n v="10"/>
    <m/>
    <x v="2"/>
    <n v="114.7"/>
    <x v="6"/>
  </r>
  <r>
    <s v="ORD200425"/>
    <d v="2023-03-09T00:00:00"/>
    <s v="C40648"/>
    <s v="Laptop"/>
    <x v="1"/>
    <n v="301.88"/>
    <s v="488 Main St"/>
    <s v="Gift Card"/>
    <s v="Returned"/>
    <s v="TRK25325993"/>
    <n v="5"/>
    <s v="WINTER15"/>
    <x v="2"/>
    <n v="603.76"/>
    <x v="9"/>
  </r>
  <r>
    <s v="ORD200426"/>
    <d v="2025-03-16T00:00:00"/>
    <s v="C40967"/>
    <s v="Monitor"/>
    <x v="0"/>
    <n v="57.45"/>
    <s v="315 Main St"/>
    <s v="Cash"/>
    <s v="Cancelled"/>
    <s v="TRK24839296"/>
    <n v="10"/>
    <m/>
    <x v="3"/>
    <n v="287.25"/>
    <x v="9"/>
  </r>
  <r>
    <s v="ORD200427"/>
    <d v="2024-12-18T00:00:00"/>
    <s v="C25406"/>
    <s v="Desk"/>
    <x v="2"/>
    <n v="161.24"/>
    <s v="379 Main St"/>
    <s v="Credit Card"/>
    <s v="Pending"/>
    <s v="TRK70952564"/>
    <n v="3"/>
    <s v="WINTER15"/>
    <x v="0"/>
    <n v="161.24"/>
    <x v="8"/>
  </r>
  <r>
    <s v="ORD200428"/>
    <d v="2024-11-26T00:00:00"/>
    <s v="C77085"/>
    <s v="Chair"/>
    <x v="3"/>
    <n v="262.58"/>
    <s v="895 Main St"/>
    <s v="Online"/>
    <s v="Cancelled"/>
    <s v="TRK57227640"/>
    <n v="8"/>
    <s v="WINTER15"/>
    <x v="2"/>
    <n v="1050.32"/>
    <x v="7"/>
  </r>
  <r>
    <s v="ORD200429"/>
    <d v="2024-12-19T00:00:00"/>
    <s v="C38126"/>
    <s v="Printer"/>
    <x v="3"/>
    <n v="515.19000000000005"/>
    <s v="522 Main St"/>
    <s v="Credit Card"/>
    <s v="Pending"/>
    <s v="TRK90838498"/>
    <n v="9"/>
    <s v="SAVE10"/>
    <x v="3"/>
    <n v="2060.7600000000002"/>
    <x v="8"/>
  </r>
  <r>
    <s v="ORD200430"/>
    <d v="2023-06-07T00:00:00"/>
    <s v="C87448"/>
    <s v="Phone"/>
    <x v="2"/>
    <n v="450.07"/>
    <s v="433 Main St"/>
    <s v="Gift Card"/>
    <s v="Shipped"/>
    <s v="TRK44134016"/>
    <n v="6"/>
    <s v="FREESHIP"/>
    <x v="4"/>
    <n v="450.07"/>
    <x v="5"/>
  </r>
  <r>
    <s v="ORD200431"/>
    <d v="2024-10-06T00:00:00"/>
    <s v="C62312"/>
    <s v="Printer"/>
    <x v="2"/>
    <n v="52.54"/>
    <s v="651 Main St"/>
    <s v="Debit Card"/>
    <s v="Cancelled"/>
    <s v="TRK59623037"/>
    <n v="6"/>
    <s v="WINTER15"/>
    <x v="3"/>
    <n v="52.54"/>
    <x v="3"/>
  </r>
  <r>
    <s v="ORD200432"/>
    <d v="2023-09-04T00:00:00"/>
    <s v="C58443"/>
    <s v="Tablet"/>
    <x v="1"/>
    <n v="424.32"/>
    <s v="662 Main St"/>
    <s v="Credit Card"/>
    <s v="Returned"/>
    <s v="TRK77163738"/>
    <n v="6"/>
    <m/>
    <x v="1"/>
    <n v="848.64"/>
    <x v="11"/>
  </r>
  <r>
    <s v="ORD200433"/>
    <d v="2023-08-26T00:00:00"/>
    <s v="C36613"/>
    <s v="Monitor"/>
    <x v="4"/>
    <n v="631.64"/>
    <s v="785 Main St"/>
    <s v="Credit Card"/>
    <s v="Returned"/>
    <s v="TRK13282106"/>
    <n v="3"/>
    <s v="FREESHIP"/>
    <x v="3"/>
    <n v="1894.92"/>
    <x v="1"/>
  </r>
  <r>
    <s v="ORD200434"/>
    <d v="2023-10-22T00:00:00"/>
    <s v="C73893"/>
    <s v="Printer"/>
    <x v="0"/>
    <n v="327.68"/>
    <s v="384 Main St"/>
    <s v="Credit Card"/>
    <s v="Returned"/>
    <s v="TRK85939879"/>
    <n v="6"/>
    <m/>
    <x v="3"/>
    <n v="1638.4"/>
    <x v="3"/>
  </r>
  <r>
    <s v="ORD200435"/>
    <d v="2023-05-27T00:00:00"/>
    <s v="C48601"/>
    <s v="Printer"/>
    <x v="2"/>
    <n v="414.47"/>
    <s v="101 Main St"/>
    <s v="Debit Card"/>
    <s v="Returned"/>
    <s v="TRK97868309"/>
    <n v="3"/>
    <s v="FREESHIP"/>
    <x v="0"/>
    <n v="414.47"/>
    <x v="4"/>
  </r>
  <r>
    <s v="ORD200436"/>
    <d v="2023-02-11T00:00:00"/>
    <s v="C14568"/>
    <s v="Laptop"/>
    <x v="3"/>
    <n v="221.33"/>
    <s v="651 Main St"/>
    <s v="Online"/>
    <s v="Pending"/>
    <s v="TRK73545796"/>
    <n v="5"/>
    <m/>
    <x v="4"/>
    <n v="885.32"/>
    <x v="2"/>
  </r>
  <r>
    <s v="ORD200437"/>
    <d v="2024-04-18T00:00:00"/>
    <s v="C63378"/>
    <s v="Phone"/>
    <x v="2"/>
    <n v="512.39"/>
    <s v="955 Main St"/>
    <s v="Online"/>
    <s v="Delivered"/>
    <s v="TRK20863705"/>
    <n v="2"/>
    <s v="FREESHIP"/>
    <x v="0"/>
    <n v="512.39"/>
    <x v="6"/>
  </r>
  <r>
    <s v="ORD200438"/>
    <d v="2025-01-03T00:00:00"/>
    <s v="C77800"/>
    <s v="Tablet"/>
    <x v="4"/>
    <n v="459.34"/>
    <s v="436 Main St"/>
    <s v="Gift Card"/>
    <s v="Pending"/>
    <s v="TRK27439574"/>
    <n v="3"/>
    <s v="SAVE10"/>
    <x v="0"/>
    <n v="1378.02"/>
    <x v="0"/>
  </r>
  <r>
    <s v="ORD200439"/>
    <d v="2024-09-08T00:00:00"/>
    <s v="C91155"/>
    <s v="Tablet"/>
    <x v="2"/>
    <n v="146.32"/>
    <s v="321 Main St"/>
    <s v="Online"/>
    <s v="Shipped"/>
    <s v="TRK36260319"/>
    <n v="4"/>
    <s v="WINTER15"/>
    <x v="3"/>
    <n v="146.32"/>
    <x v="11"/>
  </r>
  <r>
    <s v="ORD200440"/>
    <d v="2024-11-05T00:00:00"/>
    <s v="C60215"/>
    <s v="Desk"/>
    <x v="3"/>
    <n v="83.6"/>
    <s v="978 Main St"/>
    <s v="Debit Card"/>
    <s v="Pending"/>
    <s v="TRK31727767"/>
    <n v="4"/>
    <s v="SAVE10"/>
    <x v="3"/>
    <n v="334.4"/>
    <x v="7"/>
  </r>
  <r>
    <s v="ORD200441"/>
    <d v="2023-12-13T00:00:00"/>
    <s v="C52915"/>
    <s v="Printer"/>
    <x v="1"/>
    <n v="328.54"/>
    <s v="475 Main St"/>
    <s v="Gift Card"/>
    <s v="Returned"/>
    <s v="TRK79466982"/>
    <n v="6"/>
    <s v="FREESHIP"/>
    <x v="2"/>
    <n v="657.08"/>
    <x v="8"/>
  </r>
  <r>
    <s v="ORD200442"/>
    <d v="2024-05-06T00:00:00"/>
    <s v="C72588"/>
    <s v="Chair"/>
    <x v="0"/>
    <n v="314.94"/>
    <s v="661 Main St"/>
    <s v="Cash"/>
    <s v="Pending"/>
    <s v="TRK43410829"/>
    <n v="8"/>
    <s v="SAVE10"/>
    <x v="0"/>
    <n v="1574.7"/>
    <x v="4"/>
  </r>
  <r>
    <s v="ORD200443"/>
    <d v="2024-05-14T00:00:00"/>
    <s v="C61668"/>
    <s v="Chair"/>
    <x v="1"/>
    <n v="69.64"/>
    <s v="813 Main St"/>
    <s v="Cash"/>
    <s v="Returned"/>
    <s v="TRK58970302"/>
    <n v="6"/>
    <m/>
    <x v="3"/>
    <n v="139.28"/>
    <x v="4"/>
  </r>
  <r>
    <s v="ORD200444"/>
    <d v="2024-06-08T00:00:00"/>
    <s v="C79508"/>
    <s v="Printer"/>
    <x v="2"/>
    <n v="135.16999999999999"/>
    <s v="585 Main St"/>
    <s v="Online"/>
    <s v="Shipped"/>
    <s v="TRK61882353"/>
    <n v="6"/>
    <s v="FREESHIP"/>
    <x v="0"/>
    <n v="135.16999999999999"/>
    <x v="5"/>
  </r>
  <r>
    <s v="ORD200445"/>
    <d v="2024-03-23T00:00:00"/>
    <s v="C94569"/>
    <s v="Phone"/>
    <x v="2"/>
    <n v="487.21"/>
    <s v="227 Main St"/>
    <s v="Cash"/>
    <s v="Delivered"/>
    <s v="TRK31351770"/>
    <n v="3"/>
    <s v="SAVE10"/>
    <x v="1"/>
    <n v="487.21"/>
    <x v="9"/>
  </r>
  <r>
    <s v="ORD200446"/>
    <d v="2023-10-18T00:00:00"/>
    <s v="C89592"/>
    <s v="Laptop"/>
    <x v="0"/>
    <n v="509.58"/>
    <s v="262 Main St"/>
    <s v="Online"/>
    <s v="Delivered"/>
    <s v="TRK49442402"/>
    <n v="6"/>
    <s v="FREESHIP"/>
    <x v="0"/>
    <n v="2547.9"/>
    <x v="3"/>
  </r>
  <r>
    <s v="ORD200447"/>
    <d v="2024-04-07T00:00:00"/>
    <s v="C48207"/>
    <s v="Printer"/>
    <x v="1"/>
    <n v="416.81"/>
    <s v="356 Main St"/>
    <s v="Cash"/>
    <s v="Returned"/>
    <s v="TRK45355655"/>
    <n v="2"/>
    <m/>
    <x v="3"/>
    <n v="833.62"/>
    <x v="6"/>
  </r>
  <r>
    <s v="ORD200448"/>
    <d v="2023-09-04T00:00:00"/>
    <s v="C16776"/>
    <s v="Laptop"/>
    <x v="1"/>
    <n v="160"/>
    <s v="854 Main St"/>
    <s v="Cash"/>
    <s v="Pending"/>
    <s v="TRK12860600"/>
    <n v="4"/>
    <s v="SAVE10"/>
    <x v="0"/>
    <n v="320"/>
    <x v="11"/>
  </r>
  <r>
    <s v="ORD200449"/>
    <d v="2024-08-26T00:00:00"/>
    <s v="C91518"/>
    <s v="Tablet"/>
    <x v="4"/>
    <n v="253.05"/>
    <s v="286 Main St"/>
    <s v="Online"/>
    <s v="Pending"/>
    <s v="TRK48688724"/>
    <n v="3"/>
    <m/>
    <x v="0"/>
    <n v="759.15000000000009"/>
    <x v="1"/>
  </r>
  <r>
    <s v="ORD200450"/>
    <d v="2024-01-15T00:00:00"/>
    <s v="C36408"/>
    <s v="Monitor"/>
    <x v="0"/>
    <n v="615.1"/>
    <s v="160 Main St"/>
    <s v="Gift Card"/>
    <s v="Returned"/>
    <s v="TRK94023253"/>
    <n v="10"/>
    <s v="WINTER15"/>
    <x v="0"/>
    <n v="3075.5"/>
    <x v="0"/>
  </r>
  <r>
    <s v="ORD200451"/>
    <d v="2023-04-01T00:00:00"/>
    <s v="C14837"/>
    <s v="Monitor"/>
    <x v="2"/>
    <n v="183.18"/>
    <s v="647 Main St"/>
    <s v="Debit Card"/>
    <s v="Cancelled"/>
    <s v="TRK17501136"/>
    <n v="6"/>
    <s v="SAVE10"/>
    <x v="2"/>
    <n v="183.18"/>
    <x v="6"/>
  </r>
  <r>
    <s v="ORD200452"/>
    <d v="2023-07-23T00:00:00"/>
    <s v="C36467"/>
    <s v="Printer"/>
    <x v="2"/>
    <n v="75.78"/>
    <s v="581 Main St"/>
    <s v="Cash"/>
    <s v="Pending"/>
    <s v="TRK20863987"/>
    <n v="5"/>
    <s v="SAVE10"/>
    <x v="4"/>
    <n v="75.78"/>
    <x v="10"/>
  </r>
  <r>
    <s v="ORD200453"/>
    <d v="2025-05-02T00:00:00"/>
    <s v="C15017"/>
    <s v="Tablet"/>
    <x v="2"/>
    <n v="675.57"/>
    <s v="492 Main St"/>
    <s v="Cash"/>
    <s v="Shipped"/>
    <s v="TRK51241924"/>
    <n v="1"/>
    <s v="WINTER15"/>
    <x v="3"/>
    <n v="675.57"/>
    <x v="4"/>
  </r>
  <r>
    <s v="ORD200454"/>
    <d v="2024-11-27T00:00:00"/>
    <s v="C54759"/>
    <s v="Laptop"/>
    <x v="2"/>
    <n v="109.29"/>
    <s v="686 Main St"/>
    <s v="Debit Card"/>
    <s v="Cancelled"/>
    <s v="TRK75583042"/>
    <n v="5"/>
    <s v="FREESHIP"/>
    <x v="4"/>
    <n v="109.29"/>
    <x v="7"/>
  </r>
  <r>
    <s v="ORD200455"/>
    <d v="2024-03-26T00:00:00"/>
    <s v="C58341"/>
    <s v="Phone"/>
    <x v="2"/>
    <n v="639.83000000000004"/>
    <s v="874 Main St"/>
    <s v="Debit Card"/>
    <s v="Pending"/>
    <s v="TRK32856728"/>
    <n v="2"/>
    <s v="SAVE10"/>
    <x v="1"/>
    <n v="639.83000000000004"/>
    <x v="9"/>
  </r>
  <r>
    <s v="ORD200456"/>
    <d v="2023-06-26T00:00:00"/>
    <s v="C94479"/>
    <s v="Desk"/>
    <x v="0"/>
    <n v="62.81"/>
    <s v="259 Main St"/>
    <s v="Credit Card"/>
    <s v="Shipped"/>
    <s v="TRK69089975"/>
    <n v="9"/>
    <s v="SAVE10"/>
    <x v="3"/>
    <n v="314.05"/>
    <x v="5"/>
  </r>
  <r>
    <s v="ORD200457"/>
    <d v="2025-05-25T00:00:00"/>
    <s v="C50236"/>
    <s v="Desk"/>
    <x v="3"/>
    <n v="615.83000000000004"/>
    <s v="545 Main St"/>
    <s v="Online"/>
    <s v="Returned"/>
    <s v="TRK67692578"/>
    <n v="4"/>
    <s v="WINTER15"/>
    <x v="0"/>
    <n v="2463.3200000000002"/>
    <x v="4"/>
  </r>
  <r>
    <s v="ORD200458"/>
    <d v="2024-07-02T00:00:00"/>
    <s v="C31412"/>
    <s v="Monitor"/>
    <x v="3"/>
    <n v="510.58"/>
    <s v="196 Main St"/>
    <s v="Credit Card"/>
    <s v="Returned"/>
    <s v="TRK61946127"/>
    <n v="7"/>
    <s v="WINTER15"/>
    <x v="2"/>
    <n v="2042.32"/>
    <x v="10"/>
  </r>
  <r>
    <s v="ORD200459"/>
    <d v="2024-07-24T00:00:00"/>
    <s v="C90142"/>
    <s v="Desk"/>
    <x v="2"/>
    <n v="334.39"/>
    <s v="433 Main St"/>
    <s v="Credit Card"/>
    <s v="Returned"/>
    <s v="TRK39717191"/>
    <n v="2"/>
    <m/>
    <x v="0"/>
    <n v="334.39"/>
    <x v="10"/>
  </r>
  <r>
    <s v="ORD200460"/>
    <d v="2024-10-06T00:00:00"/>
    <s v="C83548"/>
    <s v="Laptop"/>
    <x v="2"/>
    <n v="144.25"/>
    <s v="474 Main St"/>
    <s v="Cash"/>
    <s v="Returned"/>
    <s v="TRK93822942"/>
    <n v="2"/>
    <s v="WINTER15"/>
    <x v="1"/>
    <n v="144.25"/>
    <x v="3"/>
  </r>
  <r>
    <s v="ORD200461"/>
    <d v="2024-06-08T00:00:00"/>
    <s v="C29697"/>
    <s v="Tablet"/>
    <x v="2"/>
    <n v="401.82"/>
    <s v="407 Main St"/>
    <s v="Credit Card"/>
    <s v="Shipped"/>
    <s v="TRK47776482"/>
    <n v="5"/>
    <s v="FREESHIP"/>
    <x v="4"/>
    <n v="401.82"/>
    <x v="5"/>
  </r>
  <r>
    <s v="ORD200462"/>
    <d v="2025-03-31T00:00:00"/>
    <s v="C22991"/>
    <s v="Phone"/>
    <x v="2"/>
    <n v="252.68"/>
    <s v="731 Main St"/>
    <s v="Online"/>
    <s v="Cancelled"/>
    <s v="TRK32796086"/>
    <n v="1"/>
    <m/>
    <x v="1"/>
    <n v="252.68"/>
    <x v="9"/>
  </r>
  <r>
    <s v="ORD200463"/>
    <d v="2023-05-26T00:00:00"/>
    <s v="C25276"/>
    <s v="Laptop"/>
    <x v="0"/>
    <n v="662.78"/>
    <s v="214 Main St"/>
    <s v="Debit Card"/>
    <s v="Shipped"/>
    <s v="TRK14011732"/>
    <n v="9"/>
    <s v="SAVE10"/>
    <x v="0"/>
    <n v="3313.9"/>
    <x v="4"/>
  </r>
  <r>
    <s v="ORD200464"/>
    <d v="2023-03-14T00:00:00"/>
    <s v="C39176"/>
    <s v="Tablet"/>
    <x v="3"/>
    <n v="434.42"/>
    <s v="739 Main St"/>
    <s v="Online"/>
    <s v="Cancelled"/>
    <s v="TRK71418686"/>
    <n v="6"/>
    <s v="FREESHIP"/>
    <x v="4"/>
    <n v="1737.68"/>
    <x v="9"/>
  </r>
  <r>
    <s v="ORD200465"/>
    <d v="2024-02-26T00:00:00"/>
    <s v="C58773"/>
    <s v="Printer"/>
    <x v="0"/>
    <n v="513.49"/>
    <s v="391 Main St"/>
    <s v="Gift Card"/>
    <s v="Cancelled"/>
    <s v="TRK65438300"/>
    <n v="8"/>
    <m/>
    <x v="4"/>
    <n v="2567.4499999999998"/>
    <x v="2"/>
  </r>
  <r>
    <s v="ORD200466"/>
    <d v="2023-07-18T00:00:00"/>
    <s v="C37412"/>
    <s v="Phone"/>
    <x v="2"/>
    <n v="432.47"/>
    <s v="895 Main St"/>
    <s v="Cash"/>
    <s v="Delivered"/>
    <s v="TRK97829604"/>
    <n v="4"/>
    <s v="FREESHIP"/>
    <x v="1"/>
    <n v="432.47"/>
    <x v="10"/>
  </r>
  <r>
    <s v="ORD200467"/>
    <d v="2024-08-30T00:00:00"/>
    <s v="C36492"/>
    <s v="Desk"/>
    <x v="2"/>
    <n v="45.94"/>
    <s v="572 Main St"/>
    <s v="Cash"/>
    <s v="Cancelled"/>
    <s v="TRK44350440"/>
    <n v="2"/>
    <s v="WINTER15"/>
    <x v="2"/>
    <n v="45.94"/>
    <x v="1"/>
  </r>
  <r>
    <s v="ORD200468"/>
    <d v="2025-06-21T00:00:00"/>
    <s v="C90110"/>
    <s v="Phone"/>
    <x v="2"/>
    <n v="418.36"/>
    <s v="998 Main St"/>
    <s v="Credit Card"/>
    <s v="Delivered"/>
    <s v="TRK60203957"/>
    <n v="5"/>
    <s v="FREESHIP"/>
    <x v="2"/>
    <n v="418.36"/>
    <x v="5"/>
  </r>
  <r>
    <s v="ORD200469"/>
    <d v="2023-11-26T00:00:00"/>
    <s v="C13877"/>
    <s v="Chair"/>
    <x v="0"/>
    <n v="676.98"/>
    <s v="893 Main St"/>
    <s v="Cash"/>
    <s v="Cancelled"/>
    <s v="TRK17254691"/>
    <n v="5"/>
    <m/>
    <x v="3"/>
    <n v="3384.9"/>
    <x v="7"/>
  </r>
  <r>
    <s v="ORD200470"/>
    <d v="2023-09-29T00:00:00"/>
    <s v="C25149"/>
    <s v="Tablet"/>
    <x v="3"/>
    <n v="263.62"/>
    <s v="672 Main St"/>
    <s v="Cash"/>
    <s v="Shipped"/>
    <s v="TRK33538608"/>
    <n v="5"/>
    <s v="SAVE10"/>
    <x v="2"/>
    <n v="1054.48"/>
    <x v="11"/>
  </r>
  <r>
    <s v="ORD200471"/>
    <d v="2025-04-19T00:00:00"/>
    <s v="C52717"/>
    <s v="Desk"/>
    <x v="0"/>
    <n v="551.27"/>
    <s v="395 Main St"/>
    <s v="Online"/>
    <s v="Cancelled"/>
    <s v="TRK27625571"/>
    <n v="7"/>
    <s v="FREESHIP"/>
    <x v="1"/>
    <n v="2756.35"/>
    <x v="6"/>
  </r>
  <r>
    <s v="ORD200472"/>
    <d v="2023-01-06T00:00:00"/>
    <s v="C60029"/>
    <s v="Chair"/>
    <x v="4"/>
    <n v="508.12"/>
    <s v="796 Main St"/>
    <s v="Credit Card"/>
    <s v="Cancelled"/>
    <s v="TRK86461316"/>
    <n v="8"/>
    <s v="FREESHIP"/>
    <x v="1"/>
    <n v="1524.36"/>
    <x v="0"/>
  </r>
  <r>
    <s v="ORD200473"/>
    <d v="2025-02-25T00:00:00"/>
    <s v="C28552"/>
    <s v="Chair"/>
    <x v="1"/>
    <n v="14.93"/>
    <s v="449 Main St"/>
    <s v="Online"/>
    <s v="Shipped"/>
    <s v="TRK71597160"/>
    <n v="4"/>
    <m/>
    <x v="3"/>
    <n v="29.86"/>
    <x v="2"/>
  </r>
  <r>
    <s v="ORD200474"/>
    <d v="2023-11-15T00:00:00"/>
    <s v="C72293"/>
    <s v="Printer"/>
    <x v="4"/>
    <n v="229.34"/>
    <s v="398 Main St"/>
    <s v="Credit Card"/>
    <s v="Shipped"/>
    <s v="TRK84378003"/>
    <n v="6"/>
    <s v="SAVE10"/>
    <x v="1"/>
    <n v="688.02"/>
    <x v="7"/>
  </r>
  <r>
    <s v="ORD200475"/>
    <d v="2025-04-19T00:00:00"/>
    <s v="C29844"/>
    <s v="Tablet"/>
    <x v="1"/>
    <n v="438.62"/>
    <s v="363 Main St"/>
    <s v="Cash"/>
    <s v="Cancelled"/>
    <s v="TRK91642337"/>
    <n v="3"/>
    <s v="SAVE10"/>
    <x v="3"/>
    <n v="877.24"/>
    <x v="6"/>
  </r>
  <r>
    <s v="ORD200476"/>
    <d v="2024-01-15T00:00:00"/>
    <s v="C77872"/>
    <s v="Phone"/>
    <x v="1"/>
    <n v="513.59"/>
    <s v="867 Main St"/>
    <s v="Online"/>
    <s v="Returned"/>
    <s v="TRK19292184"/>
    <n v="4"/>
    <s v="FREESHIP"/>
    <x v="1"/>
    <n v="1027.18"/>
    <x v="0"/>
  </r>
  <r>
    <s v="ORD200477"/>
    <d v="2025-03-05T00:00:00"/>
    <s v="C56564"/>
    <s v="Phone"/>
    <x v="1"/>
    <n v="253.74"/>
    <s v="481 Main St"/>
    <s v="Online"/>
    <s v="Shipped"/>
    <s v="TRK13166044"/>
    <n v="5"/>
    <s v="SAVE10"/>
    <x v="4"/>
    <n v="507.48"/>
    <x v="9"/>
  </r>
  <r>
    <s v="ORD200478"/>
    <d v="2024-11-01T00:00:00"/>
    <s v="C16758"/>
    <s v="Tablet"/>
    <x v="4"/>
    <n v="62.77"/>
    <s v="914 Main St"/>
    <s v="Gift Card"/>
    <s v="Shipped"/>
    <s v="TRK88544431"/>
    <n v="6"/>
    <s v="FREESHIP"/>
    <x v="1"/>
    <n v="188.31"/>
    <x v="7"/>
  </r>
  <r>
    <s v="ORD200479"/>
    <d v="2023-02-18T00:00:00"/>
    <s v="C87011"/>
    <s v="Monitor"/>
    <x v="3"/>
    <n v="25.29"/>
    <s v="943 Main St"/>
    <s v="Credit Card"/>
    <s v="Pending"/>
    <s v="TRK21429162"/>
    <n v="8"/>
    <m/>
    <x v="4"/>
    <n v="101.16"/>
    <x v="2"/>
  </r>
  <r>
    <s v="ORD200480"/>
    <d v="2023-06-16T00:00:00"/>
    <s v="C21147"/>
    <s v="Chair"/>
    <x v="2"/>
    <n v="335.1"/>
    <s v="126 Main St"/>
    <s v="Debit Card"/>
    <s v="Pending"/>
    <s v="TRK93171043"/>
    <n v="6"/>
    <s v="FREESHIP"/>
    <x v="1"/>
    <n v="335.1"/>
    <x v="5"/>
  </r>
  <r>
    <s v="ORD200481"/>
    <d v="2023-04-23T00:00:00"/>
    <s v="C94568"/>
    <s v="Laptop"/>
    <x v="3"/>
    <n v="484.85"/>
    <s v="317 Main St"/>
    <s v="Debit Card"/>
    <s v="Delivered"/>
    <s v="TRK58653915"/>
    <n v="5"/>
    <s v="WINTER15"/>
    <x v="1"/>
    <n v="1939.4"/>
    <x v="6"/>
  </r>
  <r>
    <s v="ORD200482"/>
    <d v="2025-03-02T00:00:00"/>
    <s v="C35852"/>
    <s v="Monitor"/>
    <x v="4"/>
    <n v="381.41"/>
    <s v="989 Main St"/>
    <s v="Online"/>
    <s v="Pending"/>
    <s v="TRK22302049"/>
    <n v="6"/>
    <m/>
    <x v="0"/>
    <n v="1144.23"/>
    <x v="9"/>
  </r>
  <r>
    <s v="ORD200483"/>
    <d v="2023-01-18T00:00:00"/>
    <s v="C66462"/>
    <s v="Phone"/>
    <x v="0"/>
    <n v="347.92"/>
    <s v="982 Main St"/>
    <s v="Cash"/>
    <s v="Pending"/>
    <s v="TRK52743700"/>
    <n v="6"/>
    <s v="WINTER15"/>
    <x v="4"/>
    <n v="1739.6"/>
    <x v="0"/>
  </r>
  <r>
    <s v="ORD200484"/>
    <d v="2024-05-29T00:00:00"/>
    <s v="C29092"/>
    <s v="Chair"/>
    <x v="3"/>
    <n v="15.01"/>
    <s v="767 Main St"/>
    <s v="Cash"/>
    <s v="Cancelled"/>
    <s v="TRK90455340"/>
    <n v="6"/>
    <m/>
    <x v="3"/>
    <n v="60.04"/>
    <x v="4"/>
  </r>
  <r>
    <s v="ORD200485"/>
    <d v="2023-08-01T00:00:00"/>
    <s v="C46651"/>
    <s v="Chair"/>
    <x v="4"/>
    <n v="404.79"/>
    <s v="764 Main St"/>
    <s v="Cash"/>
    <s v="Shipped"/>
    <s v="TRK67679195"/>
    <n v="6"/>
    <s v="SAVE10"/>
    <x v="0"/>
    <n v="1214.3699999999999"/>
    <x v="1"/>
  </r>
  <r>
    <s v="ORD200486"/>
    <d v="2023-02-03T00:00:00"/>
    <s v="C88981"/>
    <s v="Printer"/>
    <x v="3"/>
    <n v="611.26"/>
    <s v="558 Main St"/>
    <s v="Cash"/>
    <s v="Shipped"/>
    <s v="TRK75267873"/>
    <n v="5"/>
    <s v="SAVE10"/>
    <x v="1"/>
    <n v="2445.04"/>
    <x v="2"/>
  </r>
  <r>
    <s v="ORD200487"/>
    <d v="2023-03-09T00:00:00"/>
    <s v="C40136"/>
    <s v="Printer"/>
    <x v="4"/>
    <n v="346.52"/>
    <s v="211 Main St"/>
    <s v="Credit Card"/>
    <s v="Pending"/>
    <s v="TRK92924852"/>
    <n v="3"/>
    <s v="SAVE10"/>
    <x v="4"/>
    <n v="1039.56"/>
    <x v="9"/>
  </r>
  <r>
    <s v="ORD200488"/>
    <d v="2024-12-05T00:00:00"/>
    <s v="C81573"/>
    <s v="Chair"/>
    <x v="2"/>
    <n v="36.65"/>
    <s v="556 Main St"/>
    <s v="Online"/>
    <s v="Cancelled"/>
    <s v="TRK96522994"/>
    <n v="1"/>
    <s v="WINTER15"/>
    <x v="2"/>
    <n v="36.65"/>
    <x v="8"/>
  </r>
  <r>
    <s v="ORD200489"/>
    <d v="2023-09-05T00:00:00"/>
    <s v="C11940"/>
    <s v="Tablet"/>
    <x v="4"/>
    <n v="149.34"/>
    <s v="589 Main St"/>
    <s v="Gift Card"/>
    <s v="Cancelled"/>
    <s v="TRK85466461"/>
    <n v="7"/>
    <s v="WINTER15"/>
    <x v="2"/>
    <n v="448.02"/>
    <x v="11"/>
  </r>
  <r>
    <s v="ORD200490"/>
    <d v="2024-07-22T00:00:00"/>
    <s v="C50097"/>
    <s v="Chair"/>
    <x v="0"/>
    <n v="467.81"/>
    <s v="539 Main St"/>
    <s v="Online"/>
    <s v="Cancelled"/>
    <s v="TRK62785150"/>
    <n v="10"/>
    <m/>
    <x v="3"/>
    <n v="2339.0500000000002"/>
    <x v="10"/>
  </r>
  <r>
    <s v="ORD200491"/>
    <d v="2023-01-05T00:00:00"/>
    <s v="C98168"/>
    <s v="Phone"/>
    <x v="0"/>
    <n v="420.7"/>
    <s v="481 Main St"/>
    <s v="Cash"/>
    <s v="Pending"/>
    <s v="TRK56423359"/>
    <n v="5"/>
    <s v="WINTER15"/>
    <x v="3"/>
    <n v="2103.5"/>
    <x v="0"/>
  </r>
  <r>
    <s v="ORD200492"/>
    <d v="2023-10-25T00:00:00"/>
    <s v="C39074"/>
    <s v="Laptop"/>
    <x v="0"/>
    <n v="606.52"/>
    <s v="103 Main St"/>
    <s v="Debit Card"/>
    <s v="Shipped"/>
    <s v="TRK13027036"/>
    <n v="6"/>
    <s v="SAVE10"/>
    <x v="0"/>
    <n v="3032.6"/>
    <x v="3"/>
  </r>
  <r>
    <s v="ORD200493"/>
    <d v="2025-01-28T00:00:00"/>
    <s v="C84908"/>
    <s v="Phone"/>
    <x v="2"/>
    <n v="420.26"/>
    <s v="372 Main St"/>
    <s v="Credit Card"/>
    <s v="Pending"/>
    <s v="TRK64135970"/>
    <n v="4"/>
    <s v="FREESHIP"/>
    <x v="3"/>
    <n v="420.26"/>
    <x v="0"/>
  </r>
  <r>
    <s v="ORD200494"/>
    <d v="2023-07-19T00:00:00"/>
    <s v="C64516"/>
    <s v="Laptop"/>
    <x v="4"/>
    <n v="505.79"/>
    <s v="459 Main St"/>
    <s v="Debit Card"/>
    <s v="Pending"/>
    <s v="TRK63920573"/>
    <n v="3"/>
    <s v="FREESHIP"/>
    <x v="1"/>
    <n v="1517.37"/>
    <x v="10"/>
  </r>
  <r>
    <s v="ORD200495"/>
    <d v="2025-06-05T00:00:00"/>
    <s v="C63827"/>
    <s v="Phone"/>
    <x v="3"/>
    <n v="493.73"/>
    <s v="947 Main St"/>
    <s v="Debit Card"/>
    <s v="Pending"/>
    <s v="TRK35730581"/>
    <n v="6"/>
    <s v="SAVE10"/>
    <x v="3"/>
    <n v="1974.92"/>
    <x v="5"/>
  </r>
  <r>
    <s v="ORD200496"/>
    <d v="2025-03-14T00:00:00"/>
    <s v="C93618"/>
    <s v="Printer"/>
    <x v="4"/>
    <n v="201.21"/>
    <s v="249 Main St"/>
    <s v="Online"/>
    <s v="Cancelled"/>
    <s v="TRK66129326"/>
    <n v="3"/>
    <s v="SAVE10"/>
    <x v="4"/>
    <n v="603.63"/>
    <x v="9"/>
  </r>
  <r>
    <s v="ORD200497"/>
    <d v="2024-10-24T00:00:00"/>
    <s v="C93948"/>
    <s v="Printer"/>
    <x v="4"/>
    <n v="112.29"/>
    <s v="454 Main St"/>
    <s v="Gift Card"/>
    <s v="Shipped"/>
    <s v="TRK77358113"/>
    <n v="6"/>
    <m/>
    <x v="4"/>
    <n v="336.87"/>
    <x v="3"/>
  </r>
  <r>
    <s v="ORD200498"/>
    <d v="2023-07-12T00:00:00"/>
    <s v="C73961"/>
    <s v="Tablet"/>
    <x v="3"/>
    <n v="132.56"/>
    <s v="306 Main St"/>
    <s v="Cash"/>
    <s v="Returned"/>
    <s v="TRK32607173"/>
    <n v="8"/>
    <s v="WINTER15"/>
    <x v="0"/>
    <n v="530.24"/>
    <x v="10"/>
  </r>
  <r>
    <s v="ORD200499"/>
    <d v="2023-04-06T00:00:00"/>
    <s v="C18138"/>
    <s v="Printer"/>
    <x v="4"/>
    <n v="539.46"/>
    <s v="520 Main St"/>
    <s v="Credit Card"/>
    <s v="Shipped"/>
    <s v="TRK20289483"/>
    <n v="4"/>
    <s v="SAVE10"/>
    <x v="3"/>
    <n v="1618.38"/>
    <x v="6"/>
  </r>
  <r>
    <s v="ORD200500"/>
    <d v="2024-04-07T00:00:00"/>
    <s v="C79475"/>
    <s v="Laptop"/>
    <x v="0"/>
    <n v="508.59"/>
    <s v="169 Main St"/>
    <s v="Cash"/>
    <s v="Returned"/>
    <s v="TRK42168516"/>
    <n v="8"/>
    <s v="WINTER15"/>
    <x v="3"/>
    <n v="2542.9499999999998"/>
    <x v="6"/>
  </r>
  <r>
    <s v="ORD200501"/>
    <d v="2024-02-04T00:00:00"/>
    <s v="C88546"/>
    <s v="Desk"/>
    <x v="3"/>
    <n v="203.46"/>
    <s v="226 Main St"/>
    <s v="Credit Card"/>
    <s v="Pending"/>
    <s v="TRK19867754"/>
    <n v="7"/>
    <s v="SAVE10"/>
    <x v="1"/>
    <n v="813.84"/>
    <x v="2"/>
  </r>
  <r>
    <s v="ORD200502"/>
    <d v="2023-05-20T00:00:00"/>
    <s v="C69332"/>
    <s v="Monitor"/>
    <x v="4"/>
    <n v="565.25"/>
    <s v="745 Main St"/>
    <s v="Debit Card"/>
    <s v="Returned"/>
    <s v="TRK65718848"/>
    <n v="7"/>
    <s v="SAVE10"/>
    <x v="2"/>
    <n v="1695.75"/>
    <x v="4"/>
  </r>
  <r>
    <s v="ORD200503"/>
    <d v="2023-08-31T00:00:00"/>
    <s v="C64554"/>
    <s v="Tablet"/>
    <x v="4"/>
    <n v="136.84"/>
    <s v="498 Main St"/>
    <s v="Online"/>
    <s v="Pending"/>
    <s v="TRK95384568"/>
    <n v="4"/>
    <s v="FREESHIP"/>
    <x v="3"/>
    <n v="410.52"/>
    <x v="1"/>
  </r>
  <r>
    <s v="ORD200504"/>
    <d v="2025-06-11T00:00:00"/>
    <s v="C11676"/>
    <s v="Monitor"/>
    <x v="1"/>
    <n v="464.5"/>
    <s v="805 Main St"/>
    <s v="Online"/>
    <s v="Cancelled"/>
    <s v="TRK35726395"/>
    <n v="2"/>
    <s v="WINTER15"/>
    <x v="0"/>
    <n v="929"/>
    <x v="5"/>
  </r>
  <r>
    <s v="ORD200505"/>
    <d v="2023-06-11T00:00:00"/>
    <s v="C36014"/>
    <s v="Printer"/>
    <x v="1"/>
    <n v="434.97"/>
    <s v="558 Main St"/>
    <s v="Online"/>
    <s v="Shipped"/>
    <s v="TRK97246526"/>
    <n v="7"/>
    <m/>
    <x v="2"/>
    <n v="869.94"/>
    <x v="5"/>
  </r>
  <r>
    <s v="ORD200506"/>
    <d v="2023-07-25T00:00:00"/>
    <s v="C23279"/>
    <s v="Monitor"/>
    <x v="1"/>
    <n v="43.67"/>
    <s v="696 Main St"/>
    <s v="Cash"/>
    <s v="Returned"/>
    <s v="TRK58039693"/>
    <n v="4"/>
    <s v="WINTER15"/>
    <x v="0"/>
    <n v="87.34"/>
    <x v="10"/>
  </r>
  <r>
    <s v="ORD200507"/>
    <d v="2023-07-05T00:00:00"/>
    <s v="C86481"/>
    <s v="Phone"/>
    <x v="2"/>
    <n v="171.59"/>
    <s v="546 Main St"/>
    <s v="Credit Card"/>
    <s v="Pending"/>
    <s v="TRK87513944"/>
    <n v="5"/>
    <s v="WINTER15"/>
    <x v="2"/>
    <n v="171.59"/>
    <x v="10"/>
  </r>
  <r>
    <s v="ORD200508"/>
    <d v="2025-05-14T00:00:00"/>
    <s v="C39550"/>
    <s v="Phone"/>
    <x v="2"/>
    <n v="558.27"/>
    <s v="976 Main St"/>
    <s v="Online"/>
    <s v="Delivered"/>
    <s v="TRK24120267"/>
    <n v="1"/>
    <m/>
    <x v="1"/>
    <n v="558.27"/>
    <x v="4"/>
  </r>
  <r>
    <s v="ORD200509"/>
    <d v="2023-02-15T00:00:00"/>
    <s v="C68937"/>
    <s v="Laptop"/>
    <x v="1"/>
    <n v="425.03"/>
    <s v="560 Main St"/>
    <s v="Cash"/>
    <s v="Returned"/>
    <s v="TRK31908657"/>
    <n v="2"/>
    <s v="WINTER15"/>
    <x v="4"/>
    <n v="850.06"/>
    <x v="2"/>
  </r>
  <r>
    <s v="ORD200510"/>
    <d v="2024-12-16T00:00:00"/>
    <s v="C72533"/>
    <s v="Printer"/>
    <x v="2"/>
    <n v="376.76"/>
    <s v="389 Main St"/>
    <s v="Debit Card"/>
    <s v="Delivered"/>
    <s v="TRK51288986"/>
    <n v="5"/>
    <s v="SAVE10"/>
    <x v="2"/>
    <n v="376.76"/>
    <x v="8"/>
  </r>
  <r>
    <s v="ORD200511"/>
    <d v="2024-03-15T00:00:00"/>
    <s v="C11415"/>
    <s v="Monitor"/>
    <x v="0"/>
    <n v="575.24"/>
    <s v="267 Main St"/>
    <s v="Cash"/>
    <s v="Delivered"/>
    <s v="TRK65061457"/>
    <n v="7"/>
    <s v="WINTER15"/>
    <x v="2"/>
    <n v="2876.2"/>
    <x v="9"/>
  </r>
  <r>
    <s v="ORD200512"/>
    <d v="2024-09-27T00:00:00"/>
    <s v="C14114"/>
    <s v="Desk"/>
    <x v="4"/>
    <n v="568.02"/>
    <s v="856 Main St"/>
    <s v="Online"/>
    <s v="Pending"/>
    <s v="TRK63290700"/>
    <n v="3"/>
    <s v="FREESHIP"/>
    <x v="0"/>
    <n v="1704.06"/>
    <x v="11"/>
  </r>
  <r>
    <s v="ORD200513"/>
    <d v="2025-02-09T00:00:00"/>
    <s v="C64128"/>
    <s v="Tablet"/>
    <x v="4"/>
    <n v="94.88"/>
    <s v="533 Main St"/>
    <s v="Gift Card"/>
    <s v="Shipped"/>
    <s v="TRK37053575"/>
    <n v="8"/>
    <m/>
    <x v="1"/>
    <n v="284.64"/>
    <x v="2"/>
  </r>
  <r>
    <s v="ORD200514"/>
    <d v="2023-04-16T00:00:00"/>
    <s v="C15629"/>
    <s v="Printer"/>
    <x v="4"/>
    <n v="304.14999999999998"/>
    <s v="492 Main St"/>
    <s v="Gift Card"/>
    <s v="Shipped"/>
    <s v="TRK64926044"/>
    <n v="3"/>
    <s v="WINTER15"/>
    <x v="0"/>
    <n v="912.44999999999993"/>
    <x v="6"/>
  </r>
  <r>
    <s v="ORD200515"/>
    <d v="2023-03-14T00:00:00"/>
    <s v="C67561"/>
    <s v="Phone"/>
    <x v="4"/>
    <n v="553.52"/>
    <s v="160 Main St"/>
    <s v="Gift Card"/>
    <s v="Shipped"/>
    <s v="TRK75900717"/>
    <n v="4"/>
    <s v="FREESHIP"/>
    <x v="3"/>
    <n v="1660.56"/>
    <x v="9"/>
  </r>
  <r>
    <s v="ORD200516"/>
    <d v="2024-04-07T00:00:00"/>
    <s v="C47022"/>
    <s v="Monitor"/>
    <x v="4"/>
    <n v="166.99"/>
    <s v="208 Main St"/>
    <s v="Cash"/>
    <s v="Returned"/>
    <s v="TRK28855040"/>
    <n v="8"/>
    <m/>
    <x v="3"/>
    <n v="500.97"/>
    <x v="6"/>
  </r>
  <r>
    <s v="ORD200517"/>
    <d v="2024-04-09T00:00:00"/>
    <s v="C55205"/>
    <s v="Tablet"/>
    <x v="3"/>
    <n v="198.35"/>
    <s v="943 Main St"/>
    <s v="Cash"/>
    <s v="Cancelled"/>
    <s v="TRK88141634"/>
    <n v="7"/>
    <s v="FREESHIP"/>
    <x v="4"/>
    <n v="793.4"/>
    <x v="6"/>
  </r>
  <r>
    <s v="ORD200518"/>
    <d v="2025-06-13T00:00:00"/>
    <s v="C30686"/>
    <s v="Printer"/>
    <x v="3"/>
    <n v="403.58"/>
    <s v="319 Main St"/>
    <s v="Online"/>
    <s v="Pending"/>
    <s v="TRK59807273"/>
    <n v="9"/>
    <s v="SAVE10"/>
    <x v="1"/>
    <n v="1614.32"/>
    <x v="5"/>
  </r>
  <r>
    <s v="ORD200519"/>
    <d v="2025-05-10T00:00:00"/>
    <s v="C71797"/>
    <s v="Laptop"/>
    <x v="3"/>
    <n v="464.29"/>
    <s v="941 Main St"/>
    <s v="Debit Card"/>
    <s v="Returned"/>
    <s v="TRK66010667"/>
    <n v="5"/>
    <s v="SAVE10"/>
    <x v="2"/>
    <n v="1857.16"/>
    <x v="4"/>
  </r>
  <r>
    <s v="ORD200520"/>
    <d v="2023-03-10T00:00:00"/>
    <s v="C66332"/>
    <s v="Monitor"/>
    <x v="4"/>
    <n v="635.98"/>
    <s v="959 Main St"/>
    <s v="Cash"/>
    <s v="Returned"/>
    <s v="TRK27063398"/>
    <n v="5"/>
    <m/>
    <x v="1"/>
    <n v="1907.94"/>
    <x v="9"/>
  </r>
  <r>
    <s v="ORD200521"/>
    <d v="2024-02-25T00:00:00"/>
    <s v="C82318"/>
    <s v="Phone"/>
    <x v="2"/>
    <n v="528.05999999999995"/>
    <s v="991 Main St"/>
    <s v="Credit Card"/>
    <s v="Shipped"/>
    <s v="TRK37534165"/>
    <n v="2"/>
    <m/>
    <x v="3"/>
    <n v="528.05999999999995"/>
    <x v="2"/>
  </r>
  <r>
    <s v="ORD200522"/>
    <d v="2024-04-20T00:00:00"/>
    <s v="C66254"/>
    <s v="Chair"/>
    <x v="2"/>
    <n v="515.32000000000005"/>
    <s v="740 Main St"/>
    <s v="Gift Card"/>
    <s v="Cancelled"/>
    <s v="TRK82843861"/>
    <n v="1"/>
    <s v="FREESHIP"/>
    <x v="2"/>
    <n v="515.32000000000005"/>
    <x v="6"/>
  </r>
  <r>
    <s v="ORD200523"/>
    <d v="2025-02-18T00:00:00"/>
    <s v="C65083"/>
    <s v="Desk"/>
    <x v="3"/>
    <n v="657.79"/>
    <s v="652 Main St"/>
    <s v="Credit Card"/>
    <s v="Returned"/>
    <s v="TRK60937148"/>
    <n v="6"/>
    <s v="WINTER15"/>
    <x v="4"/>
    <n v="2631.16"/>
    <x v="2"/>
  </r>
  <r>
    <s v="ORD200524"/>
    <d v="2023-10-25T00:00:00"/>
    <s v="C44778"/>
    <s v="Phone"/>
    <x v="2"/>
    <n v="153"/>
    <s v="103 Main St"/>
    <s v="Credit Card"/>
    <s v="Returned"/>
    <s v="TRK92617366"/>
    <n v="4"/>
    <m/>
    <x v="1"/>
    <n v="153"/>
    <x v="3"/>
  </r>
  <r>
    <s v="ORD200525"/>
    <d v="2023-12-03T00:00:00"/>
    <s v="C54499"/>
    <s v="Monitor"/>
    <x v="2"/>
    <n v="668.48"/>
    <s v="160 Main St"/>
    <s v="Debit Card"/>
    <s v="Shipped"/>
    <s v="TRK18061555"/>
    <n v="1"/>
    <s v="SAVE10"/>
    <x v="2"/>
    <n v="668.48"/>
    <x v="8"/>
  </r>
  <r>
    <s v="ORD200526"/>
    <d v="2024-02-29T00:00:00"/>
    <s v="C91201"/>
    <s v="Desk"/>
    <x v="1"/>
    <n v="46.5"/>
    <s v="837 Main St"/>
    <s v="Cash"/>
    <s v="Returned"/>
    <s v="TRK63526023"/>
    <n v="7"/>
    <s v="WINTER15"/>
    <x v="4"/>
    <n v="93"/>
    <x v="2"/>
  </r>
  <r>
    <s v="ORD200527"/>
    <d v="2024-08-19T00:00:00"/>
    <s v="C27202"/>
    <s v="Chair"/>
    <x v="0"/>
    <n v="653.47"/>
    <s v="967 Main St"/>
    <s v="Credit Card"/>
    <s v="Cancelled"/>
    <s v="TRK75406128"/>
    <n v="10"/>
    <s v="SAVE10"/>
    <x v="1"/>
    <n v="3267.35"/>
    <x v="1"/>
  </r>
  <r>
    <s v="ORD200528"/>
    <d v="2025-02-26T00:00:00"/>
    <s v="C32011"/>
    <s v="Chair"/>
    <x v="2"/>
    <n v="628.89"/>
    <s v="686 Main St"/>
    <s v="Credit Card"/>
    <s v="Returned"/>
    <s v="TRK70997744"/>
    <n v="2"/>
    <s v="SAVE10"/>
    <x v="1"/>
    <n v="628.89"/>
    <x v="2"/>
  </r>
  <r>
    <s v="ORD200529"/>
    <d v="2024-04-07T00:00:00"/>
    <s v="C21181"/>
    <s v="Tablet"/>
    <x v="1"/>
    <n v="675.1"/>
    <s v="938 Main St"/>
    <s v="Cash"/>
    <s v="Pending"/>
    <s v="TRK50363421"/>
    <n v="4"/>
    <s v="FREESHIP"/>
    <x v="4"/>
    <n v="1350.2"/>
    <x v="6"/>
  </r>
  <r>
    <s v="ORD200530"/>
    <d v="2024-07-18T00:00:00"/>
    <s v="C98450"/>
    <s v="Chair"/>
    <x v="3"/>
    <n v="89.41"/>
    <s v="613 Main St"/>
    <s v="Online"/>
    <s v="Pending"/>
    <s v="TRK14809530"/>
    <n v="9"/>
    <m/>
    <x v="4"/>
    <n v="357.64"/>
    <x v="10"/>
  </r>
  <r>
    <s v="ORD200531"/>
    <d v="2024-07-02T00:00:00"/>
    <s v="C64502"/>
    <s v="Desk"/>
    <x v="0"/>
    <n v="320.01"/>
    <s v="722 Main St"/>
    <s v="Gift Card"/>
    <s v="Delivered"/>
    <s v="TRK14914388"/>
    <n v="6"/>
    <m/>
    <x v="1"/>
    <n v="1600.05"/>
    <x v="10"/>
  </r>
  <r>
    <s v="ORD200532"/>
    <d v="2025-05-03T00:00:00"/>
    <s v="C47365"/>
    <s v="Laptop"/>
    <x v="1"/>
    <n v="41"/>
    <s v="369 Main St"/>
    <s v="Online"/>
    <s v="Delivered"/>
    <s v="TRK42207882"/>
    <n v="7"/>
    <m/>
    <x v="2"/>
    <n v="82"/>
    <x v="4"/>
  </r>
  <r>
    <s v="ORD200533"/>
    <d v="2023-03-05T00:00:00"/>
    <s v="C66349"/>
    <s v="Desk"/>
    <x v="2"/>
    <n v="565.85"/>
    <s v="715 Main St"/>
    <s v="Gift Card"/>
    <s v="Returned"/>
    <s v="TRK63550793"/>
    <n v="1"/>
    <s v="FREESHIP"/>
    <x v="3"/>
    <n v="565.85"/>
    <x v="9"/>
  </r>
  <r>
    <s v="ORD200534"/>
    <d v="2024-06-06T00:00:00"/>
    <s v="C73289"/>
    <s v="Chair"/>
    <x v="4"/>
    <n v="648.59"/>
    <s v="906 Main St"/>
    <s v="Debit Card"/>
    <s v="Cancelled"/>
    <s v="TRK70872738"/>
    <n v="4"/>
    <s v="SAVE10"/>
    <x v="2"/>
    <n v="1945.77"/>
    <x v="5"/>
  </r>
  <r>
    <s v="ORD200535"/>
    <d v="2024-07-24T00:00:00"/>
    <s v="C48649"/>
    <s v="Monitor"/>
    <x v="4"/>
    <n v="68.12"/>
    <s v="332 Main St"/>
    <s v="Online"/>
    <s v="Cancelled"/>
    <s v="TRK45821445"/>
    <n v="3"/>
    <s v="FREESHIP"/>
    <x v="2"/>
    <n v="204.36"/>
    <x v="10"/>
  </r>
  <r>
    <s v="ORD200536"/>
    <d v="2024-06-09T00:00:00"/>
    <s v="C18724"/>
    <s v="Chair"/>
    <x v="2"/>
    <n v="616.1"/>
    <s v="124 Main St"/>
    <s v="Cash"/>
    <s v="Returned"/>
    <s v="TRK52508861"/>
    <n v="6"/>
    <m/>
    <x v="2"/>
    <n v="616.1"/>
    <x v="5"/>
  </r>
  <r>
    <s v="ORD200537"/>
    <d v="2025-03-23T00:00:00"/>
    <s v="C68553"/>
    <s v="Tablet"/>
    <x v="4"/>
    <n v="247.47"/>
    <s v="385 Main St"/>
    <s v="Online"/>
    <s v="Delivered"/>
    <s v="TRK58218971"/>
    <n v="4"/>
    <s v="SAVE10"/>
    <x v="3"/>
    <n v="742.41"/>
    <x v="9"/>
  </r>
  <r>
    <s v="ORD200538"/>
    <d v="2024-05-24T00:00:00"/>
    <s v="C61280"/>
    <s v="Phone"/>
    <x v="4"/>
    <n v="490.74"/>
    <s v="100 Main St"/>
    <s v="Cash"/>
    <s v="Shipped"/>
    <s v="TRK95487711"/>
    <n v="3"/>
    <s v="WINTER15"/>
    <x v="2"/>
    <n v="1472.22"/>
    <x v="4"/>
  </r>
  <r>
    <s v="ORD200539"/>
    <d v="2025-02-18T00:00:00"/>
    <s v="C53277"/>
    <s v="Desk"/>
    <x v="4"/>
    <n v="531.72"/>
    <s v="473 Main St"/>
    <s v="Gift Card"/>
    <s v="Delivered"/>
    <s v="TRK17653832"/>
    <n v="7"/>
    <s v="SAVE10"/>
    <x v="4"/>
    <n v="1595.16"/>
    <x v="2"/>
  </r>
  <r>
    <s v="ORD200540"/>
    <d v="2024-01-29T00:00:00"/>
    <s v="C87281"/>
    <s v="Laptop"/>
    <x v="0"/>
    <n v="648.65"/>
    <s v="852 Main St"/>
    <s v="Online"/>
    <s v="Pending"/>
    <s v="TRK81765057"/>
    <n v="7"/>
    <m/>
    <x v="1"/>
    <n v="3243.25"/>
    <x v="0"/>
  </r>
  <r>
    <s v="ORD200541"/>
    <d v="2023-08-07T00:00:00"/>
    <s v="C69009"/>
    <s v="Printer"/>
    <x v="0"/>
    <n v="456.06"/>
    <s v="879 Main St"/>
    <s v="Cash"/>
    <s v="Pending"/>
    <s v="TRK61295842"/>
    <n v="10"/>
    <m/>
    <x v="0"/>
    <n v="2280.3000000000002"/>
    <x v="1"/>
  </r>
  <r>
    <s v="ORD200542"/>
    <d v="2023-11-14T00:00:00"/>
    <s v="C49726"/>
    <s v="Tablet"/>
    <x v="2"/>
    <n v="17.98"/>
    <s v="934 Main St"/>
    <s v="Cash"/>
    <s v="Cancelled"/>
    <s v="TRK20739460"/>
    <n v="6"/>
    <s v="FREESHIP"/>
    <x v="2"/>
    <n v="17.98"/>
    <x v="7"/>
  </r>
  <r>
    <s v="ORD200543"/>
    <d v="2024-03-09T00:00:00"/>
    <s v="C37531"/>
    <s v="Desk"/>
    <x v="0"/>
    <n v="269.86"/>
    <s v="354 Main St"/>
    <s v="Cash"/>
    <s v="Shipped"/>
    <s v="TRK93877673"/>
    <n v="6"/>
    <s v="WINTER15"/>
    <x v="3"/>
    <n v="1349.3"/>
    <x v="9"/>
  </r>
  <r>
    <s v="ORD200544"/>
    <d v="2024-03-10T00:00:00"/>
    <s v="C48713"/>
    <s v="Printer"/>
    <x v="0"/>
    <n v="31.96"/>
    <s v="373 Main St"/>
    <s v="Credit Card"/>
    <s v="Returned"/>
    <s v="TRK96334419"/>
    <n v="5"/>
    <s v="FREESHIP"/>
    <x v="1"/>
    <n v="159.80000000000001"/>
    <x v="9"/>
  </r>
  <r>
    <s v="ORD200545"/>
    <d v="2023-12-19T00:00:00"/>
    <s v="C74138"/>
    <s v="Monitor"/>
    <x v="1"/>
    <n v="98.47"/>
    <s v="964 Main St"/>
    <s v="Cash"/>
    <s v="Returned"/>
    <s v="TRK74091695"/>
    <n v="3"/>
    <m/>
    <x v="0"/>
    <n v="196.94"/>
    <x v="8"/>
  </r>
  <r>
    <s v="ORD200546"/>
    <d v="2024-03-01T00:00:00"/>
    <s v="C82399"/>
    <s v="Monitor"/>
    <x v="2"/>
    <n v="158.68"/>
    <s v="928 Main St"/>
    <s v="Credit Card"/>
    <s v="Returned"/>
    <s v="TRK77177284"/>
    <n v="6"/>
    <s v="WINTER15"/>
    <x v="0"/>
    <n v="158.68"/>
    <x v="9"/>
  </r>
  <r>
    <s v="ORD200547"/>
    <d v="2023-08-20T00:00:00"/>
    <s v="C40427"/>
    <s v="Phone"/>
    <x v="2"/>
    <n v="613.98"/>
    <s v="411 Main St"/>
    <s v="Online"/>
    <s v="Delivered"/>
    <s v="TRK25392280"/>
    <n v="4"/>
    <s v="FREESHIP"/>
    <x v="3"/>
    <n v="613.98"/>
    <x v="1"/>
  </r>
  <r>
    <s v="ORD200548"/>
    <d v="2024-01-05T00:00:00"/>
    <s v="C17103"/>
    <s v="Printer"/>
    <x v="4"/>
    <n v="426.12"/>
    <s v="922 Main St"/>
    <s v="Online"/>
    <s v="Delivered"/>
    <s v="TRK64398650"/>
    <n v="5"/>
    <s v="WINTER15"/>
    <x v="0"/>
    <n v="1278.3599999999999"/>
    <x v="0"/>
  </r>
  <r>
    <s v="ORD200549"/>
    <d v="2025-02-25T00:00:00"/>
    <s v="C34266"/>
    <s v="Monitor"/>
    <x v="3"/>
    <n v="629.88"/>
    <s v="550 Main St"/>
    <s v="Debit Card"/>
    <s v="Cancelled"/>
    <s v="TRK56378197"/>
    <n v="8"/>
    <s v="WINTER15"/>
    <x v="0"/>
    <n v="2519.52"/>
    <x v="2"/>
  </r>
  <r>
    <s v="ORD200550"/>
    <d v="2023-10-29T00:00:00"/>
    <s v="C97485"/>
    <s v="Laptop"/>
    <x v="3"/>
    <n v="228.91"/>
    <s v="573 Main St"/>
    <s v="Cash"/>
    <s v="Shipped"/>
    <s v="TRK81794737"/>
    <n v="4"/>
    <s v="FREESHIP"/>
    <x v="4"/>
    <n v="915.64"/>
    <x v="3"/>
  </r>
  <r>
    <s v="ORD200551"/>
    <d v="2023-05-18T00:00:00"/>
    <s v="C23947"/>
    <s v="Laptop"/>
    <x v="2"/>
    <n v="120.98"/>
    <s v="353 Main St"/>
    <s v="Debit Card"/>
    <s v="Delivered"/>
    <s v="TRK74812710"/>
    <n v="6"/>
    <s v="WINTER15"/>
    <x v="2"/>
    <n v="120.98"/>
    <x v="4"/>
  </r>
  <r>
    <s v="ORD200552"/>
    <d v="2023-09-30T00:00:00"/>
    <s v="C21665"/>
    <s v="Chair"/>
    <x v="3"/>
    <n v="425.18"/>
    <s v="560 Main St"/>
    <s v="Online"/>
    <s v="Returned"/>
    <s v="TRK29890761"/>
    <n v="8"/>
    <s v="WINTER15"/>
    <x v="3"/>
    <n v="1700.72"/>
    <x v="11"/>
  </r>
  <r>
    <s v="ORD200553"/>
    <d v="2023-08-23T00:00:00"/>
    <s v="C82550"/>
    <s v="Phone"/>
    <x v="1"/>
    <n v="333.83"/>
    <s v="828 Main St"/>
    <s v="Gift Card"/>
    <s v="Cancelled"/>
    <s v="TRK74103758"/>
    <n v="4"/>
    <s v="FREESHIP"/>
    <x v="1"/>
    <n v="667.66"/>
    <x v="1"/>
  </r>
  <r>
    <s v="ORD200554"/>
    <d v="2025-05-30T00:00:00"/>
    <s v="C61943"/>
    <s v="Laptop"/>
    <x v="1"/>
    <n v="492.9"/>
    <s v="610 Main St"/>
    <s v="Cash"/>
    <s v="Returned"/>
    <s v="TRK66126496"/>
    <n v="5"/>
    <s v="FREESHIP"/>
    <x v="0"/>
    <n v="985.8"/>
    <x v="4"/>
  </r>
  <r>
    <s v="ORD200555"/>
    <d v="2023-01-07T00:00:00"/>
    <s v="C88933"/>
    <s v="Tablet"/>
    <x v="2"/>
    <n v="92.04"/>
    <s v="333 Main St"/>
    <s v="Cash"/>
    <s v="Shipped"/>
    <s v="TRK89306964"/>
    <n v="2"/>
    <m/>
    <x v="3"/>
    <n v="92.04"/>
    <x v="0"/>
  </r>
  <r>
    <s v="ORD200556"/>
    <d v="2023-01-28T00:00:00"/>
    <s v="C30923"/>
    <s v="Laptop"/>
    <x v="2"/>
    <n v="654.27"/>
    <s v="932 Main St"/>
    <s v="Gift Card"/>
    <s v="Pending"/>
    <s v="TRK82609328"/>
    <n v="2"/>
    <s v="SAVE10"/>
    <x v="3"/>
    <n v="654.27"/>
    <x v="0"/>
  </r>
  <r>
    <s v="ORD200557"/>
    <d v="2023-06-29T00:00:00"/>
    <s v="C56969"/>
    <s v="Tablet"/>
    <x v="2"/>
    <n v="56.2"/>
    <s v="130 Main St"/>
    <s v="Debit Card"/>
    <s v="Pending"/>
    <s v="TRK40719215"/>
    <n v="1"/>
    <s v="WINTER15"/>
    <x v="3"/>
    <n v="56.2"/>
    <x v="5"/>
  </r>
  <r>
    <s v="ORD200558"/>
    <d v="2024-07-16T00:00:00"/>
    <s v="C76766"/>
    <s v="Phone"/>
    <x v="3"/>
    <n v="628.12"/>
    <s v="485 Main St"/>
    <s v="Online"/>
    <s v="Delivered"/>
    <s v="TRK32052962"/>
    <n v="6"/>
    <s v="WINTER15"/>
    <x v="0"/>
    <n v="2512.48"/>
    <x v="10"/>
  </r>
  <r>
    <s v="ORD200559"/>
    <d v="2024-04-15T00:00:00"/>
    <s v="C22981"/>
    <s v="Desk"/>
    <x v="4"/>
    <n v="157.4"/>
    <s v="454 Main St"/>
    <s v="Debit Card"/>
    <s v="Cancelled"/>
    <s v="TRK10115285"/>
    <n v="7"/>
    <s v="WINTER15"/>
    <x v="2"/>
    <n v="472.2"/>
    <x v="6"/>
  </r>
  <r>
    <s v="ORD200560"/>
    <d v="2023-01-31T00:00:00"/>
    <s v="C33634"/>
    <s v="Monitor"/>
    <x v="3"/>
    <n v="588.85"/>
    <s v="524 Main St"/>
    <s v="Gift Card"/>
    <s v="Pending"/>
    <s v="TRK93168008"/>
    <n v="7"/>
    <m/>
    <x v="2"/>
    <n v="2355.4"/>
    <x v="0"/>
  </r>
  <r>
    <s v="ORD200561"/>
    <d v="2023-01-31T00:00:00"/>
    <s v="C96822"/>
    <s v="Printer"/>
    <x v="1"/>
    <n v="494.78"/>
    <s v="198 Main St"/>
    <s v="Online"/>
    <s v="Shipped"/>
    <s v="TRK89180077"/>
    <n v="2"/>
    <m/>
    <x v="4"/>
    <n v="989.56"/>
    <x v="0"/>
  </r>
  <r>
    <s v="ORD200562"/>
    <d v="2023-10-06T00:00:00"/>
    <s v="C76675"/>
    <s v="Laptop"/>
    <x v="4"/>
    <n v="663.93"/>
    <s v="922 Main St"/>
    <s v="Gift Card"/>
    <s v="Returned"/>
    <s v="TRK28043915"/>
    <n v="6"/>
    <s v="FREESHIP"/>
    <x v="2"/>
    <n v="1991.79"/>
    <x v="3"/>
  </r>
  <r>
    <s v="ORD200563"/>
    <d v="2023-12-12T00:00:00"/>
    <s v="C12039"/>
    <s v="Laptop"/>
    <x v="2"/>
    <n v="132.68"/>
    <s v="844 Main St"/>
    <s v="Debit Card"/>
    <s v="Returned"/>
    <s v="TRK68645763"/>
    <n v="1"/>
    <s v="SAVE10"/>
    <x v="1"/>
    <n v="132.68"/>
    <x v="8"/>
  </r>
  <r>
    <s v="ORD200564"/>
    <d v="2025-04-08T00:00:00"/>
    <s v="C93309"/>
    <s v="Desk"/>
    <x v="0"/>
    <n v="364.28"/>
    <s v="734 Main St"/>
    <s v="Credit Card"/>
    <s v="Cancelled"/>
    <s v="TRK99446987"/>
    <n v="5"/>
    <s v="WINTER15"/>
    <x v="4"/>
    <n v="1821.4"/>
    <x v="6"/>
  </r>
  <r>
    <s v="ORD200565"/>
    <d v="2023-05-14T00:00:00"/>
    <s v="C62042"/>
    <s v="Tablet"/>
    <x v="0"/>
    <n v="307.98"/>
    <s v="214 Main St"/>
    <s v="Online"/>
    <s v="Pending"/>
    <s v="TRK42605492"/>
    <n v="10"/>
    <m/>
    <x v="3"/>
    <n v="1539.9"/>
    <x v="4"/>
  </r>
  <r>
    <s v="ORD200566"/>
    <d v="2024-04-18T00:00:00"/>
    <s v="C83223"/>
    <s v="Phone"/>
    <x v="3"/>
    <n v="162.71"/>
    <s v="167 Main St"/>
    <s v="Cash"/>
    <s v="Cancelled"/>
    <s v="TRK54339083"/>
    <n v="7"/>
    <s v="FREESHIP"/>
    <x v="2"/>
    <n v="650.84"/>
    <x v="6"/>
  </r>
  <r>
    <s v="ORD200567"/>
    <d v="2024-09-30T00:00:00"/>
    <s v="C92575"/>
    <s v="Chair"/>
    <x v="0"/>
    <n v="492.94"/>
    <s v="153 Main St"/>
    <s v="Cash"/>
    <s v="Shipped"/>
    <s v="TRK53579227"/>
    <n v="10"/>
    <s v="FREESHIP"/>
    <x v="2"/>
    <n v="2464.6999999999998"/>
    <x v="11"/>
  </r>
  <r>
    <s v="ORD200568"/>
    <d v="2023-03-10T00:00:00"/>
    <s v="C29072"/>
    <s v="Laptop"/>
    <x v="1"/>
    <n v="343.99"/>
    <s v="312 Main St"/>
    <s v="Online"/>
    <s v="Delivered"/>
    <s v="TRK72334047"/>
    <n v="4"/>
    <m/>
    <x v="4"/>
    <n v="687.98"/>
    <x v="9"/>
  </r>
  <r>
    <s v="ORD200569"/>
    <d v="2025-03-22T00:00:00"/>
    <s v="C25783"/>
    <s v="Desk"/>
    <x v="0"/>
    <n v="250.68"/>
    <s v="672 Main St"/>
    <s v="Cash"/>
    <s v="Shipped"/>
    <s v="TRK13289741"/>
    <n v="8"/>
    <s v="SAVE10"/>
    <x v="0"/>
    <n v="1253.4000000000001"/>
    <x v="9"/>
  </r>
  <r>
    <s v="ORD200570"/>
    <d v="2024-12-27T00:00:00"/>
    <s v="C63727"/>
    <s v="Desk"/>
    <x v="1"/>
    <n v="362.14"/>
    <s v="122 Main St"/>
    <s v="Debit Card"/>
    <s v="Pending"/>
    <s v="TRK13611021"/>
    <n v="2"/>
    <s v="SAVE10"/>
    <x v="0"/>
    <n v="724.28"/>
    <x v="8"/>
  </r>
  <r>
    <s v="ORD200571"/>
    <d v="2024-11-23T00:00:00"/>
    <s v="C42365"/>
    <s v="Tablet"/>
    <x v="2"/>
    <n v="214.08"/>
    <s v="867 Main St"/>
    <s v="Gift Card"/>
    <s v="Returned"/>
    <s v="TRK39563288"/>
    <n v="2"/>
    <s v="WINTER15"/>
    <x v="4"/>
    <n v="214.08"/>
    <x v="7"/>
  </r>
  <r>
    <s v="ORD200572"/>
    <d v="2023-11-11T00:00:00"/>
    <s v="C27438"/>
    <s v="Printer"/>
    <x v="2"/>
    <n v="70.319999999999993"/>
    <s v="341 Main St"/>
    <s v="Cash"/>
    <s v="Returned"/>
    <s v="TRK69125497"/>
    <n v="4"/>
    <s v="WINTER15"/>
    <x v="3"/>
    <n v="70.319999999999993"/>
    <x v="7"/>
  </r>
  <r>
    <s v="ORD200573"/>
    <d v="2023-01-25T00:00:00"/>
    <s v="C13205"/>
    <s v="Chair"/>
    <x v="0"/>
    <n v="421.42"/>
    <s v="522 Main St"/>
    <s v="Debit Card"/>
    <s v="Cancelled"/>
    <s v="TRK30686578"/>
    <n v="7"/>
    <m/>
    <x v="0"/>
    <n v="2107.1"/>
    <x v="0"/>
  </r>
  <r>
    <s v="ORD200574"/>
    <d v="2024-01-24T00:00:00"/>
    <s v="C29685"/>
    <s v="Chair"/>
    <x v="0"/>
    <n v="384.69"/>
    <s v="275 Main St"/>
    <s v="Credit Card"/>
    <s v="Pending"/>
    <s v="TRK97733212"/>
    <n v="6"/>
    <s v="FREESHIP"/>
    <x v="2"/>
    <n v="1923.45"/>
    <x v="0"/>
  </r>
  <r>
    <s v="ORD200575"/>
    <d v="2023-06-07T00:00:00"/>
    <s v="C74005"/>
    <s v="Chair"/>
    <x v="0"/>
    <n v="448.15"/>
    <s v="528 Main St"/>
    <s v="Gift Card"/>
    <s v="Returned"/>
    <s v="TRK61640534"/>
    <n v="7"/>
    <s v="SAVE10"/>
    <x v="4"/>
    <n v="2240.75"/>
    <x v="5"/>
  </r>
  <r>
    <s v="ORD200576"/>
    <d v="2024-05-29T00:00:00"/>
    <s v="C14457"/>
    <s v="Laptop"/>
    <x v="0"/>
    <n v="79.08"/>
    <s v="747 Main St"/>
    <s v="Cash"/>
    <s v="Pending"/>
    <s v="TRK42517811"/>
    <n v="8"/>
    <m/>
    <x v="3"/>
    <n v="395.4"/>
    <x v="4"/>
  </r>
  <r>
    <s v="ORD200577"/>
    <d v="2023-01-22T00:00:00"/>
    <s v="C77046"/>
    <s v="Tablet"/>
    <x v="3"/>
    <n v="185.41"/>
    <s v="967 Main St"/>
    <s v="Online"/>
    <s v="Returned"/>
    <s v="TRK44401497"/>
    <n v="9"/>
    <s v="WINTER15"/>
    <x v="4"/>
    <n v="741.64"/>
    <x v="0"/>
  </r>
  <r>
    <s v="ORD200578"/>
    <d v="2024-10-10T00:00:00"/>
    <s v="C50415"/>
    <s v="Monitor"/>
    <x v="0"/>
    <n v="566.07000000000005"/>
    <s v="587 Main St"/>
    <s v="Credit Card"/>
    <s v="Delivered"/>
    <s v="TRK41345634"/>
    <n v="6"/>
    <s v="SAVE10"/>
    <x v="0"/>
    <n v="2830.35"/>
    <x v="3"/>
  </r>
  <r>
    <s v="ORD200579"/>
    <d v="2023-06-04T00:00:00"/>
    <s v="C73999"/>
    <s v="Tablet"/>
    <x v="1"/>
    <n v="187.88"/>
    <s v="413 Main St"/>
    <s v="Online"/>
    <s v="Shipped"/>
    <s v="TRK67919507"/>
    <n v="4"/>
    <s v="WINTER15"/>
    <x v="3"/>
    <n v="375.76"/>
    <x v="5"/>
  </r>
  <r>
    <s v="ORD200580"/>
    <d v="2023-11-14T00:00:00"/>
    <s v="C71076"/>
    <s v="Monitor"/>
    <x v="1"/>
    <n v="255.99"/>
    <s v="340 Main St"/>
    <s v="Credit Card"/>
    <s v="Delivered"/>
    <s v="TRK65148292"/>
    <n v="4"/>
    <s v="SAVE10"/>
    <x v="0"/>
    <n v="511.98"/>
    <x v="7"/>
  </r>
  <r>
    <s v="ORD200581"/>
    <d v="2024-11-11T00:00:00"/>
    <s v="C44674"/>
    <s v="Laptop"/>
    <x v="2"/>
    <n v="627.34"/>
    <s v="942 Main St"/>
    <s v="Online"/>
    <s v="Delivered"/>
    <s v="TRK87158684"/>
    <n v="1"/>
    <m/>
    <x v="1"/>
    <n v="627.34"/>
    <x v="7"/>
  </r>
  <r>
    <s v="ORD200582"/>
    <d v="2024-02-19T00:00:00"/>
    <s v="C15228"/>
    <s v="Tablet"/>
    <x v="4"/>
    <n v="474.14"/>
    <s v="558 Main St"/>
    <s v="Gift Card"/>
    <s v="Shipped"/>
    <s v="TRK33860620"/>
    <n v="8"/>
    <s v="WINTER15"/>
    <x v="4"/>
    <n v="1422.42"/>
    <x v="2"/>
  </r>
  <r>
    <s v="ORD200583"/>
    <d v="2025-06-15T00:00:00"/>
    <s v="C27072"/>
    <s v="Chair"/>
    <x v="4"/>
    <n v="154.37"/>
    <s v="996 Main St"/>
    <s v="Gift Card"/>
    <s v="Delivered"/>
    <s v="TRK29750379"/>
    <n v="4"/>
    <m/>
    <x v="0"/>
    <n v="463.11"/>
    <x v="5"/>
  </r>
  <r>
    <s v="ORD200584"/>
    <d v="2025-03-21T00:00:00"/>
    <s v="C15257"/>
    <s v="Chair"/>
    <x v="3"/>
    <n v="145.05000000000001"/>
    <s v="626 Main St"/>
    <s v="Online"/>
    <s v="Delivered"/>
    <s v="TRK28779938"/>
    <n v="6"/>
    <s v="SAVE10"/>
    <x v="4"/>
    <n v="580.20000000000005"/>
    <x v="9"/>
  </r>
  <r>
    <s v="ORD200585"/>
    <d v="2023-08-20T00:00:00"/>
    <s v="C91486"/>
    <s v="Tablet"/>
    <x v="3"/>
    <n v="67.08"/>
    <s v="907 Main St"/>
    <s v="Cash"/>
    <s v="Returned"/>
    <s v="TRK79617136"/>
    <n v="8"/>
    <s v="WINTER15"/>
    <x v="4"/>
    <n v="268.32"/>
    <x v="1"/>
  </r>
  <r>
    <s v="ORD200586"/>
    <d v="2024-11-10T00:00:00"/>
    <s v="C17389"/>
    <s v="Monitor"/>
    <x v="2"/>
    <n v="522.08000000000004"/>
    <s v="905 Main St"/>
    <s v="Gift Card"/>
    <s v="Returned"/>
    <s v="TRK98857880"/>
    <n v="5"/>
    <s v="FREESHIP"/>
    <x v="1"/>
    <n v="522.08000000000004"/>
    <x v="7"/>
  </r>
  <r>
    <s v="ORD200587"/>
    <d v="2023-06-12T00:00:00"/>
    <s v="C18820"/>
    <s v="Monitor"/>
    <x v="0"/>
    <n v="514.6"/>
    <s v="347 Main St"/>
    <s v="Gift Card"/>
    <s v="Delivered"/>
    <s v="TRK91547425"/>
    <n v="10"/>
    <s v="FREESHIP"/>
    <x v="0"/>
    <n v="2573"/>
    <x v="5"/>
  </r>
  <r>
    <s v="ORD200588"/>
    <d v="2024-12-10T00:00:00"/>
    <s v="C61849"/>
    <s v="Monitor"/>
    <x v="3"/>
    <n v="577.82000000000005"/>
    <s v="811 Main St"/>
    <s v="Credit Card"/>
    <s v="Delivered"/>
    <s v="TRK47613918"/>
    <n v="9"/>
    <m/>
    <x v="4"/>
    <n v="2311.2800000000002"/>
    <x v="8"/>
  </r>
  <r>
    <s v="ORD200589"/>
    <d v="2025-02-10T00:00:00"/>
    <s v="C84041"/>
    <s v="Laptop"/>
    <x v="1"/>
    <n v="500.8"/>
    <s v="900 Main St"/>
    <s v="Cash"/>
    <s v="Delivered"/>
    <s v="TRK84920444"/>
    <n v="3"/>
    <s v="FREESHIP"/>
    <x v="1"/>
    <n v="1001.6"/>
    <x v="2"/>
  </r>
  <r>
    <s v="ORD200590"/>
    <d v="2023-09-10T00:00:00"/>
    <s v="C55757"/>
    <s v="Printer"/>
    <x v="1"/>
    <n v="461.13"/>
    <s v="175 Main St"/>
    <s v="Gift Card"/>
    <s v="Returned"/>
    <s v="TRK27356242"/>
    <n v="4"/>
    <m/>
    <x v="2"/>
    <n v="922.26"/>
    <x v="11"/>
  </r>
  <r>
    <s v="ORD200591"/>
    <d v="2024-11-18T00:00:00"/>
    <s v="C18187"/>
    <s v="Laptop"/>
    <x v="2"/>
    <n v="605.28"/>
    <s v="470 Main St"/>
    <s v="Gift Card"/>
    <s v="Shipped"/>
    <s v="TRK50528185"/>
    <n v="3"/>
    <s v="FREESHIP"/>
    <x v="1"/>
    <n v="605.28"/>
    <x v="7"/>
  </r>
  <r>
    <s v="ORD200592"/>
    <d v="2024-04-23T00:00:00"/>
    <s v="C42306"/>
    <s v="Phone"/>
    <x v="4"/>
    <n v="204.27"/>
    <s v="938 Main St"/>
    <s v="Online"/>
    <s v="Returned"/>
    <s v="TRK15499648"/>
    <n v="4"/>
    <m/>
    <x v="4"/>
    <n v="612.81000000000006"/>
    <x v="6"/>
  </r>
  <r>
    <s v="ORD200593"/>
    <d v="2023-08-02T00:00:00"/>
    <s v="C51024"/>
    <s v="Monitor"/>
    <x v="2"/>
    <n v="489.8"/>
    <s v="636 Main St"/>
    <s v="Gift Card"/>
    <s v="Shipped"/>
    <s v="TRK31375086"/>
    <n v="4"/>
    <s v="FREESHIP"/>
    <x v="3"/>
    <n v="489.8"/>
    <x v="1"/>
  </r>
  <r>
    <s v="ORD200594"/>
    <d v="2024-02-21T00:00:00"/>
    <s v="C40140"/>
    <s v="Phone"/>
    <x v="0"/>
    <n v="72.64"/>
    <s v="598 Main St"/>
    <s v="Credit Card"/>
    <s v="Cancelled"/>
    <s v="TRK12671989"/>
    <n v="7"/>
    <m/>
    <x v="2"/>
    <n v="363.2"/>
    <x v="2"/>
  </r>
  <r>
    <s v="ORD200595"/>
    <d v="2025-01-10T00:00:00"/>
    <s v="C72596"/>
    <s v="Printer"/>
    <x v="1"/>
    <n v="385.16"/>
    <s v="491 Main St"/>
    <s v="Online"/>
    <s v="Pending"/>
    <s v="TRK83870446"/>
    <n v="7"/>
    <s v="SAVE10"/>
    <x v="2"/>
    <n v="770.32"/>
    <x v="0"/>
  </r>
  <r>
    <s v="ORD200596"/>
    <d v="2023-06-12T00:00:00"/>
    <s v="C91805"/>
    <s v="Desk"/>
    <x v="4"/>
    <n v="606.41"/>
    <s v="653 Main St"/>
    <s v="Debit Card"/>
    <s v="Returned"/>
    <s v="TRK34504030"/>
    <n v="7"/>
    <s v="FREESHIP"/>
    <x v="3"/>
    <n v="1819.23"/>
    <x v="5"/>
  </r>
  <r>
    <s v="ORD200597"/>
    <d v="2024-11-25T00:00:00"/>
    <s v="C40538"/>
    <s v="Desk"/>
    <x v="1"/>
    <n v="211.82"/>
    <s v="700 Main St"/>
    <s v="Gift Card"/>
    <s v="Cancelled"/>
    <s v="TRK29821356"/>
    <n v="4"/>
    <s v="WINTER15"/>
    <x v="2"/>
    <n v="423.64"/>
    <x v="7"/>
  </r>
  <r>
    <s v="ORD200598"/>
    <d v="2024-04-26T00:00:00"/>
    <s v="C60329"/>
    <s v="Desk"/>
    <x v="0"/>
    <n v="495.35"/>
    <s v="826 Main St"/>
    <s v="Credit Card"/>
    <s v="Pending"/>
    <s v="TRK59069987"/>
    <n v="5"/>
    <m/>
    <x v="3"/>
    <n v="2476.75"/>
    <x v="6"/>
  </r>
  <r>
    <s v="ORD200599"/>
    <d v="2023-06-30T00:00:00"/>
    <s v="C28740"/>
    <s v="Chair"/>
    <x v="4"/>
    <n v="556.99"/>
    <s v="123 Main St"/>
    <s v="Online"/>
    <s v="Cancelled"/>
    <s v="TRK33642221"/>
    <n v="4"/>
    <s v="FREESHIP"/>
    <x v="3"/>
    <n v="1670.97"/>
    <x v="5"/>
  </r>
  <r>
    <s v="ORD200600"/>
    <d v="2023-05-26T00:00:00"/>
    <s v="C87051"/>
    <s v="Printer"/>
    <x v="2"/>
    <n v="72.31"/>
    <s v="460 Main St"/>
    <s v="Gift Card"/>
    <s v="Cancelled"/>
    <s v="TRK82056333"/>
    <n v="1"/>
    <s v="FREESHIP"/>
    <x v="3"/>
    <n v="72.31"/>
    <x v="4"/>
  </r>
  <r>
    <s v="ORD200601"/>
    <d v="2023-10-02T00:00:00"/>
    <s v="C12479"/>
    <s v="Monitor"/>
    <x v="0"/>
    <n v="24.82"/>
    <s v="529 Main St"/>
    <s v="Credit Card"/>
    <s v="Shipped"/>
    <s v="TRK73935314"/>
    <n v="10"/>
    <m/>
    <x v="1"/>
    <n v="124.1"/>
    <x v="3"/>
  </r>
  <r>
    <s v="ORD200602"/>
    <d v="2024-03-05T00:00:00"/>
    <s v="C35852"/>
    <s v="Tablet"/>
    <x v="3"/>
    <n v="26.04"/>
    <s v="982 Main St"/>
    <s v="Online"/>
    <s v="Pending"/>
    <s v="TRK64660134"/>
    <n v="5"/>
    <s v="SAVE10"/>
    <x v="0"/>
    <n v="104.16"/>
    <x v="9"/>
  </r>
  <r>
    <s v="ORD200603"/>
    <d v="2024-10-04T00:00:00"/>
    <s v="C26223"/>
    <s v="Tablet"/>
    <x v="2"/>
    <n v="657.07"/>
    <s v="800 Main St"/>
    <s v="Cash"/>
    <s v="Pending"/>
    <s v="TRK50900547"/>
    <n v="4"/>
    <s v="SAVE10"/>
    <x v="4"/>
    <n v="657.07"/>
    <x v="3"/>
  </r>
  <r>
    <s v="ORD200604"/>
    <d v="2025-06-22T00:00:00"/>
    <s v="C99214"/>
    <s v="Chair"/>
    <x v="4"/>
    <n v="32.619999999999997"/>
    <s v="252 Main St"/>
    <s v="Debit Card"/>
    <s v="Delivered"/>
    <s v="TRK81368481"/>
    <n v="6"/>
    <m/>
    <x v="3"/>
    <n v="97.859999999999985"/>
    <x v="5"/>
  </r>
  <r>
    <s v="ORD200605"/>
    <d v="2024-05-10T00:00:00"/>
    <s v="C49605"/>
    <s v="Monitor"/>
    <x v="1"/>
    <n v="228.91"/>
    <s v="892 Main St"/>
    <s v="Debit Card"/>
    <s v="Shipped"/>
    <s v="TRK95620066"/>
    <n v="4"/>
    <s v="SAVE10"/>
    <x v="1"/>
    <n v="457.82"/>
    <x v="4"/>
  </r>
  <r>
    <s v="ORD200606"/>
    <d v="2024-11-06T00:00:00"/>
    <s v="C85018"/>
    <s v="Laptop"/>
    <x v="4"/>
    <n v="274.75"/>
    <s v="783 Main St"/>
    <s v="Cash"/>
    <s v="Cancelled"/>
    <s v="TRK54128886"/>
    <n v="3"/>
    <s v="SAVE10"/>
    <x v="4"/>
    <n v="824.25"/>
    <x v="7"/>
  </r>
  <r>
    <s v="ORD200607"/>
    <d v="2025-05-31T00:00:00"/>
    <s v="C96434"/>
    <s v="Printer"/>
    <x v="3"/>
    <n v="634.04999999999995"/>
    <s v="282 Main St"/>
    <s v="Cash"/>
    <s v="Shipped"/>
    <s v="TRK56730647"/>
    <n v="6"/>
    <s v="SAVE10"/>
    <x v="4"/>
    <n v="2536.1999999999998"/>
    <x v="4"/>
  </r>
  <r>
    <s v="ORD200608"/>
    <d v="2024-07-24T00:00:00"/>
    <s v="C32956"/>
    <s v="Laptop"/>
    <x v="0"/>
    <n v="543.16"/>
    <s v="788 Main St"/>
    <s v="Online"/>
    <s v="Cancelled"/>
    <s v="TRK73140103"/>
    <n v="6"/>
    <s v="SAVE10"/>
    <x v="0"/>
    <n v="2715.8"/>
    <x v="10"/>
  </r>
  <r>
    <s v="ORD200609"/>
    <d v="2025-01-27T00:00:00"/>
    <s v="C41137"/>
    <s v="Chair"/>
    <x v="4"/>
    <n v="449.13"/>
    <s v="809 Main St"/>
    <s v="Cash"/>
    <s v="Returned"/>
    <s v="TRK52732162"/>
    <n v="5"/>
    <s v="WINTER15"/>
    <x v="1"/>
    <n v="1347.39"/>
    <x v="0"/>
  </r>
  <r>
    <s v="ORD200610"/>
    <d v="2024-06-16T00:00:00"/>
    <s v="C60361"/>
    <s v="Desk"/>
    <x v="0"/>
    <n v="389.62"/>
    <s v="623 Main St"/>
    <s v="Cash"/>
    <s v="Returned"/>
    <s v="TRK83566924"/>
    <n v="7"/>
    <s v="FREESHIP"/>
    <x v="3"/>
    <n v="1948.1"/>
    <x v="5"/>
  </r>
  <r>
    <s v="ORD200611"/>
    <d v="2023-04-21T00:00:00"/>
    <s v="C36688"/>
    <s v="Desk"/>
    <x v="2"/>
    <n v="305.17"/>
    <s v="700 Main St"/>
    <s v="Gift Card"/>
    <s v="Returned"/>
    <s v="TRK35720426"/>
    <n v="3"/>
    <s v="WINTER15"/>
    <x v="1"/>
    <n v="305.17"/>
    <x v="6"/>
  </r>
  <r>
    <s v="ORD200612"/>
    <d v="2023-06-02T00:00:00"/>
    <s v="C51811"/>
    <s v="Chair"/>
    <x v="4"/>
    <n v="445.12"/>
    <s v="339 Main St"/>
    <s v="Gift Card"/>
    <s v="Cancelled"/>
    <s v="TRK82377939"/>
    <n v="8"/>
    <m/>
    <x v="4"/>
    <n v="1335.36"/>
    <x v="5"/>
  </r>
  <r>
    <s v="ORD200613"/>
    <d v="2024-12-19T00:00:00"/>
    <s v="C62405"/>
    <s v="Laptop"/>
    <x v="1"/>
    <n v="230.36"/>
    <s v="154 Main St"/>
    <s v="Online"/>
    <s v="Returned"/>
    <s v="TRK14721763"/>
    <n v="4"/>
    <s v="WINTER15"/>
    <x v="2"/>
    <n v="460.72"/>
    <x v="8"/>
  </r>
  <r>
    <s v="ORD200614"/>
    <d v="2024-03-08T00:00:00"/>
    <s v="C77363"/>
    <s v="Phone"/>
    <x v="2"/>
    <n v="96.81"/>
    <s v="807 Main St"/>
    <s v="Gift Card"/>
    <s v="Cancelled"/>
    <s v="TRK12439827"/>
    <n v="3"/>
    <m/>
    <x v="1"/>
    <n v="96.81"/>
    <x v="9"/>
  </r>
  <r>
    <s v="ORD200615"/>
    <d v="2025-03-07T00:00:00"/>
    <s v="C97218"/>
    <s v="Monitor"/>
    <x v="0"/>
    <n v="460.14"/>
    <s v="252 Main St"/>
    <s v="Credit Card"/>
    <s v="Returned"/>
    <s v="TRK52632065"/>
    <n v="10"/>
    <s v="WINTER15"/>
    <x v="3"/>
    <n v="2300.6999999999998"/>
    <x v="9"/>
  </r>
  <r>
    <s v="ORD200616"/>
    <d v="2024-10-17T00:00:00"/>
    <s v="C43919"/>
    <s v="Tablet"/>
    <x v="4"/>
    <n v="601.6"/>
    <s v="984 Main St"/>
    <s v="Credit Card"/>
    <s v="Cancelled"/>
    <s v="TRK73113192"/>
    <n v="7"/>
    <s v="SAVE10"/>
    <x v="3"/>
    <n v="1804.8"/>
    <x v="3"/>
  </r>
  <r>
    <s v="ORD200617"/>
    <d v="2024-02-08T00:00:00"/>
    <s v="C57093"/>
    <s v="Tablet"/>
    <x v="4"/>
    <n v="184.47"/>
    <s v="834 Main St"/>
    <s v="Online"/>
    <s v="Cancelled"/>
    <s v="TRK75469057"/>
    <n v="4"/>
    <m/>
    <x v="1"/>
    <n v="553.41"/>
    <x v="2"/>
  </r>
  <r>
    <s v="ORD200618"/>
    <d v="2024-09-03T00:00:00"/>
    <s v="C50565"/>
    <s v="Tablet"/>
    <x v="2"/>
    <n v="411.34"/>
    <s v="399 Main St"/>
    <s v="Debit Card"/>
    <s v="Returned"/>
    <s v="TRK97981418"/>
    <n v="5"/>
    <m/>
    <x v="0"/>
    <n v="411.34"/>
    <x v="11"/>
  </r>
  <r>
    <s v="ORD200619"/>
    <d v="2024-07-16T00:00:00"/>
    <s v="C38845"/>
    <s v="Laptop"/>
    <x v="2"/>
    <n v="532.89"/>
    <s v="764 Main St"/>
    <s v="Gift Card"/>
    <s v="Pending"/>
    <s v="TRK47637374"/>
    <n v="2"/>
    <m/>
    <x v="1"/>
    <n v="532.89"/>
    <x v="10"/>
  </r>
  <r>
    <s v="ORD200620"/>
    <d v="2024-03-27T00:00:00"/>
    <s v="C84834"/>
    <s v="Tablet"/>
    <x v="4"/>
    <n v="136.34"/>
    <s v="866 Main St"/>
    <s v="Debit Card"/>
    <s v="Returned"/>
    <s v="TRK90136001"/>
    <n v="8"/>
    <s v="SAVE10"/>
    <x v="1"/>
    <n v="409.02"/>
    <x v="9"/>
  </r>
  <r>
    <s v="ORD200621"/>
    <d v="2023-10-22T00:00:00"/>
    <s v="C37455"/>
    <s v="Phone"/>
    <x v="0"/>
    <n v="476.01"/>
    <s v="146 Main St"/>
    <s v="Credit Card"/>
    <s v="Delivered"/>
    <s v="TRK82685594"/>
    <n v="7"/>
    <s v="WINTER15"/>
    <x v="4"/>
    <n v="2380.0500000000002"/>
    <x v="3"/>
  </r>
  <r>
    <s v="ORD200622"/>
    <d v="2024-11-02T00:00:00"/>
    <s v="C27078"/>
    <s v="Desk"/>
    <x v="0"/>
    <n v="236.38"/>
    <s v="128 Main St"/>
    <s v="Credit Card"/>
    <s v="Returned"/>
    <s v="TRK89314307"/>
    <n v="7"/>
    <m/>
    <x v="3"/>
    <n v="1181.9000000000001"/>
    <x v="7"/>
  </r>
  <r>
    <s v="ORD200623"/>
    <d v="2023-06-16T00:00:00"/>
    <s v="C91941"/>
    <s v="Printer"/>
    <x v="4"/>
    <n v="396"/>
    <s v="269 Main St"/>
    <s v="Gift Card"/>
    <s v="Cancelled"/>
    <s v="TRK21330732"/>
    <n v="4"/>
    <s v="FREESHIP"/>
    <x v="0"/>
    <n v="1188"/>
    <x v="5"/>
  </r>
  <r>
    <s v="ORD200624"/>
    <d v="2024-01-16T00:00:00"/>
    <s v="C25967"/>
    <s v="Tablet"/>
    <x v="0"/>
    <n v="341.96"/>
    <s v="747 Main St"/>
    <s v="Debit Card"/>
    <s v="Delivered"/>
    <s v="TRK88559278"/>
    <n v="6"/>
    <m/>
    <x v="2"/>
    <n v="1709.8"/>
    <x v="0"/>
  </r>
  <r>
    <s v="ORD200625"/>
    <d v="2023-09-24T00:00:00"/>
    <s v="C22123"/>
    <s v="Tablet"/>
    <x v="2"/>
    <n v="672.89"/>
    <s v="519 Main St"/>
    <s v="Credit Card"/>
    <s v="Pending"/>
    <s v="TRK43250279"/>
    <n v="1"/>
    <s v="WINTER15"/>
    <x v="2"/>
    <n v="672.89"/>
    <x v="11"/>
  </r>
  <r>
    <s v="ORD200626"/>
    <d v="2024-03-01T00:00:00"/>
    <s v="C45671"/>
    <s v="Tablet"/>
    <x v="1"/>
    <n v="657.48"/>
    <s v="769 Main St"/>
    <s v="Online"/>
    <s v="Shipped"/>
    <s v="TRK18179773"/>
    <n v="5"/>
    <s v="SAVE10"/>
    <x v="1"/>
    <n v="1314.96"/>
    <x v="9"/>
  </r>
  <r>
    <s v="ORD200627"/>
    <d v="2023-08-06T00:00:00"/>
    <s v="C53334"/>
    <s v="Chair"/>
    <x v="4"/>
    <n v="498.68"/>
    <s v="879 Main St"/>
    <s v="Online"/>
    <s v="Returned"/>
    <s v="TRK31724421"/>
    <n v="4"/>
    <s v="FREESHIP"/>
    <x v="2"/>
    <n v="1496.04"/>
    <x v="1"/>
  </r>
  <r>
    <s v="ORD200628"/>
    <d v="2023-03-26T00:00:00"/>
    <s v="C18717"/>
    <s v="Printer"/>
    <x v="0"/>
    <n v="558.63"/>
    <s v="861 Main St"/>
    <s v="Cash"/>
    <s v="Pending"/>
    <s v="TRK58568806"/>
    <n v="8"/>
    <s v="FREESHIP"/>
    <x v="1"/>
    <n v="2793.15"/>
    <x v="9"/>
  </r>
  <r>
    <s v="ORD200629"/>
    <d v="2023-07-07T00:00:00"/>
    <s v="C50137"/>
    <s v="Phone"/>
    <x v="4"/>
    <n v="19.73"/>
    <s v="840 Main St"/>
    <s v="Online"/>
    <s v="Pending"/>
    <s v="TRK91836131"/>
    <n v="3"/>
    <m/>
    <x v="1"/>
    <n v="59.19"/>
    <x v="10"/>
  </r>
  <r>
    <s v="ORD200630"/>
    <d v="2023-06-23T00:00:00"/>
    <s v="C51481"/>
    <s v="Monitor"/>
    <x v="0"/>
    <n v="248.84"/>
    <s v="140 Main St"/>
    <s v="Debit Card"/>
    <s v="Cancelled"/>
    <s v="TRK33437701"/>
    <n v="10"/>
    <m/>
    <x v="0"/>
    <n v="1244.2"/>
    <x v="5"/>
  </r>
  <r>
    <s v="ORD200631"/>
    <d v="2024-08-31T00:00:00"/>
    <s v="C99128"/>
    <s v="Chair"/>
    <x v="4"/>
    <n v="46.11"/>
    <s v="360 Main St"/>
    <s v="Gift Card"/>
    <s v="Returned"/>
    <s v="TRK32426808"/>
    <n v="5"/>
    <s v="WINTER15"/>
    <x v="1"/>
    <n v="138.33000000000001"/>
    <x v="1"/>
  </r>
  <r>
    <s v="ORD200632"/>
    <d v="2023-05-02T00:00:00"/>
    <s v="C67260"/>
    <s v="Laptop"/>
    <x v="0"/>
    <n v="678.16"/>
    <s v="463 Main St"/>
    <s v="Gift Card"/>
    <s v="Delivered"/>
    <s v="TRK38229104"/>
    <n v="7"/>
    <s v="WINTER15"/>
    <x v="3"/>
    <n v="3390.8"/>
    <x v="4"/>
  </r>
  <r>
    <s v="ORD200633"/>
    <d v="2024-04-10T00:00:00"/>
    <s v="C79533"/>
    <s v="Laptop"/>
    <x v="0"/>
    <n v="601.72"/>
    <s v="921 Main St"/>
    <s v="Gift Card"/>
    <s v="Cancelled"/>
    <s v="TRK54711422"/>
    <n v="5"/>
    <s v="WINTER15"/>
    <x v="0"/>
    <n v="3008.6"/>
    <x v="6"/>
  </r>
  <r>
    <s v="ORD200634"/>
    <d v="2024-04-25T00:00:00"/>
    <s v="C66906"/>
    <s v="Printer"/>
    <x v="1"/>
    <n v="259.32"/>
    <s v="117 Main St"/>
    <s v="Gift Card"/>
    <s v="Delivered"/>
    <s v="TRK31633755"/>
    <n v="2"/>
    <s v="WINTER15"/>
    <x v="1"/>
    <n v="518.64"/>
    <x v="6"/>
  </r>
  <r>
    <s v="ORD200635"/>
    <d v="2023-12-13T00:00:00"/>
    <s v="C12818"/>
    <s v="Chair"/>
    <x v="4"/>
    <n v="63.68"/>
    <s v="434 Main St"/>
    <s v="Cash"/>
    <s v="Returned"/>
    <s v="TRK40879983"/>
    <n v="6"/>
    <m/>
    <x v="3"/>
    <n v="191.04"/>
    <x v="8"/>
  </r>
  <r>
    <s v="ORD200636"/>
    <d v="2023-10-05T00:00:00"/>
    <s v="C60384"/>
    <s v="Laptop"/>
    <x v="3"/>
    <n v="371.07"/>
    <s v="336 Main St"/>
    <s v="Cash"/>
    <s v="Cancelled"/>
    <s v="TRK92080037"/>
    <n v="7"/>
    <s v="WINTER15"/>
    <x v="3"/>
    <n v="1484.28"/>
    <x v="3"/>
  </r>
  <r>
    <s v="ORD200637"/>
    <d v="2024-09-29T00:00:00"/>
    <s v="C92294"/>
    <s v="Chair"/>
    <x v="3"/>
    <n v="306.35000000000002"/>
    <s v="784 Main St"/>
    <s v="Gift Card"/>
    <s v="Shipped"/>
    <s v="TRK23585765"/>
    <n v="7"/>
    <s v="WINTER15"/>
    <x v="1"/>
    <n v="1225.4000000000001"/>
    <x v="11"/>
  </r>
  <r>
    <s v="ORD200638"/>
    <d v="2023-10-15T00:00:00"/>
    <s v="C66840"/>
    <s v="Tablet"/>
    <x v="3"/>
    <n v="578.27"/>
    <s v="547 Main St"/>
    <s v="Online"/>
    <s v="Delivered"/>
    <s v="TRK76929637"/>
    <n v="9"/>
    <s v="WINTER15"/>
    <x v="2"/>
    <n v="2313.08"/>
    <x v="3"/>
  </r>
  <r>
    <s v="ORD200639"/>
    <d v="2023-01-20T00:00:00"/>
    <s v="C22534"/>
    <s v="Chair"/>
    <x v="2"/>
    <n v="529.19000000000005"/>
    <s v="391 Main St"/>
    <s v="Cash"/>
    <s v="Cancelled"/>
    <s v="TRK17415798"/>
    <n v="5"/>
    <m/>
    <x v="1"/>
    <n v="529.19000000000005"/>
    <x v="0"/>
  </r>
  <r>
    <s v="ORD200640"/>
    <d v="2024-02-27T00:00:00"/>
    <s v="C46509"/>
    <s v="Chair"/>
    <x v="1"/>
    <n v="587.49"/>
    <s v="647 Main St"/>
    <s v="Gift Card"/>
    <s v="Returned"/>
    <s v="TRK24241664"/>
    <n v="6"/>
    <s v="SAVE10"/>
    <x v="1"/>
    <n v="1174.98"/>
    <x v="2"/>
  </r>
  <r>
    <s v="ORD200641"/>
    <d v="2024-06-30T00:00:00"/>
    <s v="C71680"/>
    <s v="Printer"/>
    <x v="3"/>
    <n v="567.57000000000005"/>
    <s v="814 Main St"/>
    <s v="Debit Card"/>
    <s v="Pending"/>
    <s v="TRK47386650"/>
    <n v="9"/>
    <s v="WINTER15"/>
    <x v="4"/>
    <n v="2270.2800000000002"/>
    <x v="5"/>
  </r>
  <r>
    <s v="ORD200642"/>
    <d v="2024-04-29T00:00:00"/>
    <s v="C15063"/>
    <s v="Chair"/>
    <x v="0"/>
    <n v="85.22"/>
    <s v="527 Main St"/>
    <s v="Credit Card"/>
    <s v="Cancelled"/>
    <s v="TRK10329390"/>
    <n v="7"/>
    <s v="FREESHIP"/>
    <x v="2"/>
    <n v="426.1"/>
    <x v="6"/>
  </r>
  <r>
    <s v="ORD200643"/>
    <d v="2024-08-26T00:00:00"/>
    <s v="C77122"/>
    <s v="Laptop"/>
    <x v="2"/>
    <n v="438.37"/>
    <s v="647 Main St"/>
    <s v="Cash"/>
    <s v="Cancelled"/>
    <s v="TRK75814880"/>
    <n v="4"/>
    <s v="SAVE10"/>
    <x v="1"/>
    <n v="438.37"/>
    <x v="1"/>
  </r>
  <r>
    <s v="ORD200644"/>
    <d v="2023-11-15T00:00:00"/>
    <s v="C86524"/>
    <s v="Chair"/>
    <x v="1"/>
    <n v="366.23"/>
    <s v="961 Main St"/>
    <s v="Cash"/>
    <s v="Shipped"/>
    <s v="TRK62490506"/>
    <n v="2"/>
    <s v="WINTER15"/>
    <x v="2"/>
    <n v="732.46"/>
    <x v="7"/>
  </r>
  <r>
    <s v="ORD200645"/>
    <d v="2023-01-02T00:00:00"/>
    <s v="C82990"/>
    <s v="Laptop"/>
    <x v="1"/>
    <n v="150.05000000000001"/>
    <s v="727 Main St"/>
    <s v="Credit Card"/>
    <s v="Cancelled"/>
    <s v="TRK68574801"/>
    <n v="4"/>
    <s v="SAVE10"/>
    <x v="3"/>
    <n v="300.10000000000002"/>
    <x v="0"/>
  </r>
  <r>
    <s v="ORD200646"/>
    <d v="2023-10-27T00:00:00"/>
    <s v="C98761"/>
    <s v="Chair"/>
    <x v="3"/>
    <n v="498.51"/>
    <s v="804 Main St"/>
    <s v="Debit Card"/>
    <s v="Shipped"/>
    <s v="TRK43262630"/>
    <n v="4"/>
    <s v="SAVE10"/>
    <x v="4"/>
    <n v="1994.04"/>
    <x v="3"/>
  </r>
  <r>
    <s v="ORD200647"/>
    <d v="2025-04-24T00:00:00"/>
    <s v="C54409"/>
    <s v="Desk"/>
    <x v="4"/>
    <n v="339.39"/>
    <s v="667 Main St"/>
    <s v="Cash"/>
    <s v="Returned"/>
    <s v="TRK67671316"/>
    <n v="7"/>
    <s v="FREESHIP"/>
    <x v="4"/>
    <n v="1018.17"/>
    <x v="6"/>
  </r>
  <r>
    <s v="ORD200648"/>
    <d v="2025-01-18T00:00:00"/>
    <s v="C89674"/>
    <s v="Monitor"/>
    <x v="1"/>
    <n v="575.83000000000004"/>
    <s v="182 Main St"/>
    <s v="Online"/>
    <s v="Delivered"/>
    <s v="TRK45902512"/>
    <n v="3"/>
    <s v="WINTER15"/>
    <x v="1"/>
    <n v="1151.6600000000001"/>
    <x v="0"/>
  </r>
  <r>
    <s v="ORD200649"/>
    <d v="2023-12-23T00:00:00"/>
    <s v="C45899"/>
    <s v="Monitor"/>
    <x v="1"/>
    <n v="642.98"/>
    <s v="153 Main St"/>
    <s v="Debit Card"/>
    <s v="Returned"/>
    <s v="TRK32932093"/>
    <n v="7"/>
    <s v="FREESHIP"/>
    <x v="2"/>
    <n v="1285.96"/>
    <x v="8"/>
  </r>
  <r>
    <s v="ORD200650"/>
    <d v="2023-05-18T00:00:00"/>
    <s v="C74499"/>
    <s v="Desk"/>
    <x v="1"/>
    <n v="372.23"/>
    <s v="518 Main St"/>
    <s v="Gift Card"/>
    <s v="Delivered"/>
    <s v="TRK93767278"/>
    <n v="7"/>
    <s v="SAVE10"/>
    <x v="2"/>
    <n v="744.46"/>
    <x v="4"/>
  </r>
  <r>
    <s v="ORD200651"/>
    <d v="2024-11-12T00:00:00"/>
    <s v="C81192"/>
    <s v="Chair"/>
    <x v="4"/>
    <n v="646.34"/>
    <s v="429 Main St"/>
    <s v="Debit Card"/>
    <s v="Pending"/>
    <s v="TRK76931118"/>
    <n v="5"/>
    <m/>
    <x v="4"/>
    <n v="1939.02"/>
    <x v="7"/>
  </r>
  <r>
    <s v="ORD200652"/>
    <d v="2024-06-05T00:00:00"/>
    <s v="C71473"/>
    <s v="Chair"/>
    <x v="0"/>
    <n v="341.84"/>
    <s v="328 Main St"/>
    <s v="Online"/>
    <s v="Shipped"/>
    <s v="TRK94857335"/>
    <n v="8"/>
    <s v="FREESHIP"/>
    <x v="0"/>
    <n v="1709.2"/>
    <x v="5"/>
  </r>
  <r>
    <s v="ORD200653"/>
    <d v="2024-02-25T00:00:00"/>
    <s v="C59338"/>
    <s v="Printer"/>
    <x v="4"/>
    <n v="690.3"/>
    <s v="747 Main St"/>
    <s v="Credit Card"/>
    <s v="Shipped"/>
    <s v="TRK12902764"/>
    <n v="6"/>
    <s v="WINTER15"/>
    <x v="4"/>
    <n v="2070.9"/>
    <x v="2"/>
  </r>
  <r>
    <s v="ORD200654"/>
    <d v="2023-06-12T00:00:00"/>
    <s v="C62661"/>
    <s v="Tablet"/>
    <x v="4"/>
    <n v="382.37"/>
    <s v="863 Main St"/>
    <s v="Debit Card"/>
    <s v="Returned"/>
    <s v="TRK25748100"/>
    <n v="8"/>
    <m/>
    <x v="0"/>
    <n v="1147.1099999999999"/>
    <x v="5"/>
  </r>
  <r>
    <s v="ORD200655"/>
    <d v="2023-03-14T00:00:00"/>
    <s v="C22101"/>
    <s v="Chair"/>
    <x v="1"/>
    <n v="132.6"/>
    <s v="262 Main St"/>
    <s v="Debit Card"/>
    <s v="Cancelled"/>
    <s v="TRK70711522"/>
    <n v="4"/>
    <s v="WINTER15"/>
    <x v="2"/>
    <n v="265.2"/>
    <x v="9"/>
  </r>
  <r>
    <s v="ORD200656"/>
    <d v="2024-01-18T00:00:00"/>
    <s v="C51404"/>
    <s v="Monitor"/>
    <x v="1"/>
    <n v="189.06"/>
    <s v="835 Main St"/>
    <s v="Gift Card"/>
    <s v="Shipped"/>
    <s v="TRK85682500"/>
    <n v="7"/>
    <s v="SAVE10"/>
    <x v="3"/>
    <n v="378.12"/>
    <x v="0"/>
  </r>
  <r>
    <s v="ORD200657"/>
    <d v="2023-12-24T00:00:00"/>
    <s v="C19384"/>
    <s v="Tablet"/>
    <x v="3"/>
    <n v="87.79"/>
    <s v="532 Main St"/>
    <s v="Cash"/>
    <s v="Cancelled"/>
    <s v="TRK33207064"/>
    <n v="6"/>
    <s v="FREESHIP"/>
    <x v="0"/>
    <n v="351.16"/>
    <x v="8"/>
  </r>
  <r>
    <s v="ORD200658"/>
    <d v="2025-04-18T00:00:00"/>
    <s v="C86864"/>
    <s v="Printer"/>
    <x v="1"/>
    <n v="46.36"/>
    <s v="670 Main St"/>
    <s v="Gift Card"/>
    <s v="Returned"/>
    <s v="TRK15323191"/>
    <n v="4"/>
    <s v="SAVE10"/>
    <x v="4"/>
    <n v="92.72"/>
    <x v="6"/>
  </r>
  <r>
    <s v="ORD200659"/>
    <d v="2024-10-26T00:00:00"/>
    <s v="C24301"/>
    <s v="Phone"/>
    <x v="1"/>
    <n v="642.04"/>
    <s v="964 Main St"/>
    <s v="Gift Card"/>
    <s v="Delivered"/>
    <s v="TRK55000075"/>
    <n v="4"/>
    <s v="WINTER15"/>
    <x v="2"/>
    <n v="1284.08"/>
    <x v="3"/>
  </r>
  <r>
    <s v="ORD200660"/>
    <d v="2024-10-19T00:00:00"/>
    <s v="C43842"/>
    <s v="Chair"/>
    <x v="1"/>
    <n v="651.57000000000005"/>
    <s v="933 Main St"/>
    <s v="Debit Card"/>
    <s v="Shipped"/>
    <s v="TRK54084424"/>
    <n v="7"/>
    <s v="WINTER15"/>
    <x v="3"/>
    <n v="1303.1400000000001"/>
    <x v="3"/>
  </r>
  <r>
    <s v="ORD200661"/>
    <d v="2025-02-28T00:00:00"/>
    <s v="C63657"/>
    <s v="Tablet"/>
    <x v="4"/>
    <n v="424.89"/>
    <s v="116 Main St"/>
    <s v="Debit Card"/>
    <s v="Cancelled"/>
    <s v="TRK86378984"/>
    <n v="6"/>
    <s v="FREESHIP"/>
    <x v="4"/>
    <n v="1274.67"/>
    <x v="2"/>
  </r>
  <r>
    <s v="ORD200662"/>
    <d v="2023-01-28T00:00:00"/>
    <s v="C98332"/>
    <s v="Laptop"/>
    <x v="4"/>
    <n v="438.89"/>
    <s v="985 Main St"/>
    <s v="Cash"/>
    <s v="Returned"/>
    <s v="TRK85744797"/>
    <n v="3"/>
    <m/>
    <x v="3"/>
    <n v="1316.67"/>
    <x v="0"/>
  </r>
  <r>
    <s v="ORD200663"/>
    <d v="2024-04-15T00:00:00"/>
    <s v="C59774"/>
    <s v="Monitor"/>
    <x v="2"/>
    <n v="72.599999999999994"/>
    <s v="941 Main St"/>
    <s v="Debit Card"/>
    <s v="Cancelled"/>
    <s v="TRK87635135"/>
    <n v="6"/>
    <s v="FREESHIP"/>
    <x v="0"/>
    <n v="72.599999999999994"/>
    <x v="6"/>
  </r>
  <r>
    <s v="ORD200664"/>
    <d v="2024-12-19T00:00:00"/>
    <s v="C14847"/>
    <s v="Laptop"/>
    <x v="3"/>
    <n v="194.75"/>
    <s v="188 Main St"/>
    <s v="Cash"/>
    <s v="Shipped"/>
    <s v="TRK46492755"/>
    <n v="5"/>
    <m/>
    <x v="3"/>
    <n v="779"/>
    <x v="8"/>
  </r>
  <r>
    <s v="ORD200665"/>
    <d v="2023-05-02T00:00:00"/>
    <s v="C83653"/>
    <s v="Tablet"/>
    <x v="3"/>
    <n v="231.26"/>
    <s v="253 Main St"/>
    <s v="Online"/>
    <s v="Shipped"/>
    <s v="TRK32619935"/>
    <n v="6"/>
    <s v="WINTER15"/>
    <x v="4"/>
    <n v="925.04"/>
    <x v="4"/>
  </r>
  <r>
    <s v="ORD200666"/>
    <d v="2024-08-31T00:00:00"/>
    <s v="C35711"/>
    <s v="Monitor"/>
    <x v="3"/>
    <n v="327.12"/>
    <s v="788 Main St"/>
    <s v="Credit Card"/>
    <s v="Cancelled"/>
    <s v="TRK45281495"/>
    <n v="4"/>
    <m/>
    <x v="2"/>
    <n v="1308.48"/>
    <x v="1"/>
  </r>
  <r>
    <s v="ORD200667"/>
    <d v="2023-05-03T00:00:00"/>
    <s v="C10477"/>
    <s v="Laptop"/>
    <x v="2"/>
    <n v="466.42"/>
    <s v="172 Main St"/>
    <s v="Gift Card"/>
    <s v="Pending"/>
    <s v="TRK41505339"/>
    <n v="5"/>
    <s v="SAVE10"/>
    <x v="2"/>
    <n v="466.42"/>
    <x v="4"/>
  </r>
  <r>
    <s v="ORD200668"/>
    <d v="2024-07-05T00:00:00"/>
    <s v="C61257"/>
    <s v="Monitor"/>
    <x v="1"/>
    <n v="253.67"/>
    <s v="981 Main St"/>
    <s v="Cash"/>
    <s v="Returned"/>
    <s v="TRK25226070"/>
    <n v="3"/>
    <s v="WINTER15"/>
    <x v="3"/>
    <n v="507.34"/>
    <x v="10"/>
  </r>
  <r>
    <s v="ORD200669"/>
    <d v="2023-02-05T00:00:00"/>
    <s v="C60547"/>
    <s v="Desk"/>
    <x v="2"/>
    <n v="257"/>
    <s v="812 Main St"/>
    <s v="Debit Card"/>
    <s v="Cancelled"/>
    <s v="TRK65694249"/>
    <n v="5"/>
    <m/>
    <x v="1"/>
    <n v="257"/>
    <x v="2"/>
  </r>
  <r>
    <s v="ORD200670"/>
    <d v="2024-04-18T00:00:00"/>
    <s v="C14576"/>
    <s v="Desk"/>
    <x v="3"/>
    <n v="539.20000000000005"/>
    <s v="747 Main St"/>
    <s v="Credit Card"/>
    <s v="Pending"/>
    <s v="TRK21637540"/>
    <n v="8"/>
    <s v="FREESHIP"/>
    <x v="4"/>
    <n v="2156.8000000000002"/>
    <x v="6"/>
  </r>
  <r>
    <s v="ORD200671"/>
    <d v="2023-06-15T00:00:00"/>
    <s v="C49282"/>
    <s v="Chair"/>
    <x v="0"/>
    <n v="50.74"/>
    <s v="737 Main St"/>
    <s v="Gift Card"/>
    <s v="Cancelled"/>
    <s v="TRK88653901"/>
    <n v="7"/>
    <s v="WINTER15"/>
    <x v="4"/>
    <n v="253.7"/>
    <x v="5"/>
  </r>
  <r>
    <s v="ORD200672"/>
    <d v="2023-05-09T00:00:00"/>
    <s v="C14017"/>
    <s v="Phone"/>
    <x v="1"/>
    <n v="624.16"/>
    <s v="984 Main St"/>
    <s v="Debit Card"/>
    <s v="Shipped"/>
    <s v="TRK71009446"/>
    <n v="2"/>
    <s v="SAVE10"/>
    <x v="0"/>
    <n v="1248.32"/>
    <x v="4"/>
  </r>
  <r>
    <s v="ORD200673"/>
    <d v="2023-02-21T00:00:00"/>
    <s v="C46504"/>
    <s v="Tablet"/>
    <x v="1"/>
    <n v="372.92"/>
    <s v="131 Main St"/>
    <s v="Credit Card"/>
    <s v="Delivered"/>
    <s v="TRK95024356"/>
    <n v="7"/>
    <s v="SAVE10"/>
    <x v="2"/>
    <n v="745.84"/>
    <x v="2"/>
  </r>
  <r>
    <s v="ORD200674"/>
    <d v="2024-01-09T00:00:00"/>
    <s v="C56928"/>
    <s v="Laptop"/>
    <x v="3"/>
    <n v="358.75"/>
    <s v="860 Main St"/>
    <s v="Gift Card"/>
    <s v="Delivered"/>
    <s v="TRK57792939"/>
    <n v="9"/>
    <s v="SAVE10"/>
    <x v="3"/>
    <n v="1435"/>
    <x v="0"/>
  </r>
  <r>
    <s v="ORD200675"/>
    <d v="2024-08-06T00:00:00"/>
    <s v="C97749"/>
    <s v="Desk"/>
    <x v="4"/>
    <n v="342.02"/>
    <s v="906 Main St"/>
    <s v="Debit Card"/>
    <s v="Pending"/>
    <s v="TRK90233116"/>
    <n v="5"/>
    <m/>
    <x v="2"/>
    <n v="1026.06"/>
    <x v="1"/>
  </r>
  <r>
    <s v="ORD200676"/>
    <d v="2025-06-23T00:00:00"/>
    <s v="C90431"/>
    <s v="Laptop"/>
    <x v="1"/>
    <n v="422.34"/>
    <s v="985 Main St"/>
    <s v="Credit Card"/>
    <s v="Cancelled"/>
    <s v="TRK44151723"/>
    <n v="4"/>
    <s v="FREESHIP"/>
    <x v="0"/>
    <n v="844.68"/>
    <x v="5"/>
  </r>
  <r>
    <s v="ORD200677"/>
    <d v="2025-04-03T00:00:00"/>
    <s v="C56722"/>
    <s v="Tablet"/>
    <x v="0"/>
    <n v="22.07"/>
    <s v="179 Main St"/>
    <s v="Online"/>
    <s v="Cancelled"/>
    <s v="TRK78778569"/>
    <n v="7"/>
    <s v="FREESHIP"/>
    <x v="0"/>
    <n v="110.35"/>
    <x v="6"/>
  </r>
  <r>
    <s v="ORD200678"/>
    <d v="2024-11-24T00:00:00"/>
    <s v="C40863"/>
    <s v="Chair"/>
    <x v="4"/>
    <n v="163.13"/>
    <s v="457 Main St"/>
    <s v="Gift Card"/>
    <s v="Shipped"/>
    <s v="TRK20553345"/>
    <n v="5"/>
    <s v="WINTER15"/>
    <x v="3"/>
    <n v="489.39"/>
    <x v="7"/>
  </r>
  <r>
    <s v="ORD200679"/>
    <d v="2023-02-02T00:00:00"/>
    <s v="C40798"/>
    <s v="Tablet"/>
    <x v="4"/>
    <n v="360.66"/>
    <s v="304 Main St"/>
    <s v="Online"/>
    <s v="Returned"/>
    <s v="TRK66106697"/>
    <n v="5"/>
    <s v="FREESHIP"/>
    <x v="0"/>
    <n v="1081.98"/>
    <x v="2"/>
  </r>
  <r>
    <s v="ORD200680"/>
    <d v="2023-08-27T00:00:00"/>
    <s v="C16702"/>
    <s v="Monitor"/>
    <x v="4"/>
    <n v="463.39"/>
    <s v="694 Main St"/>
    <s v="Credit Card"/>
    <s v="Returned"/>
    <s v="TRK16953491"/>
    <n v="3"/>
    <m/>
    <x v="3"/>
    <n v="1390.17"/>
    <x v="1"/>
  </r>
  <r>
    <s v="ORD200681"/>
    <d v="2024-01-30T00:00:00"/>
    <s v="C38262"/>
    <s v="Tablet"/>
    <x v="2"/>
    <n v="155.27000000000001"/>
    <s v="548 Main St"/>
    <s v="Debit Card"/>
    <s v="Shipped"/>
    <s v="TRK47300502"/>
    <n v="6"/>
    <m/>
    <x v="2"/>
    <n v="155.27000000000001"/>
    <x v="0"/>
  </r>
  <r>
    <s v="ORD200682"/>
    <d v="2023-07-23T00:00:00"/>
    <s v="C50274"/>
    <s v="Monitor"/>
    <x v="4"/>
    <n v="509.42"/>
    <s v="449 Main St"/>
    <s v="Credit Card"/>
    <s v="Cancelled"/>
    <s v="TRK91729086"/>
    <n v="5"/>
    <s v="FREESHIP"/>
    <x v="4"/>
    <n v="1528.26"/>
    <x v="10"/>
  </r>
  <r>
    <s v="ORD200683"/>
    <d v="2025-05-18T00:00:00"/>
    <s v="C91591"/>
    <s v="Desk"/>
    <x v="3"/>
    <n v="652.48"/>
    <s v="887 Main St"/>
    <s v="Cash"/>
    <s v="Pending"/>
    <s v="TRK23554043"/>
    <n v="5"/>
    <s v="FREESHIP"/>
    <x v="0"/>
    <n v="2609.92"/>
    <x v="4"/>
  </r>
  <r>
    <s v="ORD200684"/>
    <d v="2024-09-22T00:00:00"/>
    <s v="C96583"/>
    <s v="Printer"/>
    <x v="3"/>
    <n v="34.840000000000003"/>
    <s v="288 Main St"/>
    <s v="Credit Card"/>
    <s v="Shipped"/>
    <s v="TRK64353241"/>
    <n v="8"/>
    <m/>
    <x v="2"/>
    <n v="139.36000000000001"/>
    <x v="11"/>
  </r>
  <r>
    <s v="ORD200685"/>
    <d v="2025-02-07T00:00:00"/>
    <s v="C64579"/>
    <s v="Desk"/>
    <x v="2"/>
    <n v="234.37"/>
    <s v="638 Main St"/>
    <s v="Debit Card"/>
    <s v="Shipped"/>
    <s v="TRK10276565"/>
    <n v="5"/>
    <s v="FREESHIP"/>
    <x v="2"/>
    <n v="234.37"/>
    <x v="2"/>
  </r>
  <r>
    <s v="ORD200686"/>
    <d v="2023-10-09T00:00:00"/>
    <s v="C41903"/>
    <s v="Desk"/>
    <x v="4"/>
    <n v="53.6"/>
    <s v="525 Main St"/>
    <s v="Cash"/>
    <s v="Pending"/>
    <s v="TRK59112382"/>
    <n v="4"/>
    <s v="WINTER15"/>
    <x v="3"/>
    <n v="160.80000000000001"/>
    <x v="3"/>
  </r>
  <r>
    <s v="ORD200687"/>
    <d v="2023-09-13T00:00:00"/>
    <s v="C19742"/>
    <s v="Tablet"/>
    <x v="2"/>
    <n v="332.09"/>
    <s v="408 Main St"/>
    <s v="Gift Card"/>
    <s v="Returned"/>
    <s v="TRK68845230"/>
    <n v="5"/>
    <s v="FREESHIP"/>
    <x v="0"/>
    <n v="332.09"/>
    <x v="11"/>
  </r>
  <r>
    <s v="ORD200688"/>
    <d v="2024-03-06T00:00:00"/>
    <s v="C20077"/>
    <s v="Monitor"/>
    <x v="3"/>
    <n v="593.22"/>
    <s v="154 Main St"/>
    <s v="Credit Card"/>
    <s v="Cancelled"/>
    <s v="TRK36415742"/>
    <n v="8"/>
    <s v="WINTER15"/>
    <x v="3"/>
    <n v="2372.88"/>
    <x v="9"/>
  </r>
  <r>
    <s v="ORD200689"/>
    <d v="2023-08-29T00:00:00"/>
    <s v="C13186"/>
    <s v="Tablet"/>
    <x v="1"/>
    <n v="444.84"/>
    <s v="787 Main St"/>
    <s v="Online"/>
    <s v="Shipped"/>
    <s v="TRK56967415"/>
    <n v="7"/>
    <m/>
    <x v="3"/>
    <n v="889.68"/>
    <x v="1"/>
  </r>
  <r>
    <s v="ORD200690"/>
    <d v="2024-07-12T00:00:00"/>
    <s v="C29318"/>
    <s v="Monitor"/>
    <x v="2"/>
    <n v="24.48"/>
    <s v="128 Main St"/>
    <s v="Gift Card"/>
    <s v="Returned"/>
    <s v="TRK88666721"/>
    <n v="1"/>
    <m/>
    <x v="0"/>
    <n v="24.48"/>
    <x v="10"/>
  </r>
  <r>
    <s v="ORD200691"/>
    <d v="2024-11-24T00:00:00"/>
    <s v="C36137"/>
    <s v="Laptop"/>
    <x v="4"/>
    <n v="239.08"/>
    <s v="396 Main St"/>
    <s v="Cash"/>
    <s v="Shipped"/>
    <s v="TRK57376416"/>
    <n v="8"/>
    <m/>
    <x v="4"/>
    <n v="717.24"/>
    <x v="7"/>
  </r>
  <r>
    <s v="ORD200692"/>
    <d v="2023-01-23T00:00:00"/>
    <s v="C25534"/>
    <s v="Desk"/>
    <x v="0"/>
    <n v="196.84"/>
    <s v="319 Main St"/>
    <s v="Credit Card"/>
    <s v="Delivered"/>
    <s v="TRK68347402"/>
    <n v="5"/>
    <s v="WINTER15"/>
    <x v="0"/>
    <n v="984.2"/>
    <x v="0"/>
  </r>
  <r>
    <s v="ORD200693"/>
    <d v="2025-03-12T00:00:00"/>
    <s v="C62070"/>
    <s v="Monitor"/>
    <x v="2"/>
    <n v="176.58"/>
    <s v="674 Main St"/>
    <s v="Debit Card"/>
    <s v="Returned"/>
    <s v="TRK10267127"/>
    <n v="4"/>
    <m/>
    <x v="1"/>
    <n v="176.58"/>
    <x v="9"/>
  </r>
  <r>
    <s v="ORD200694"/>
    <d v="2023-10-02T00:00:00"/>
    <s v="C92049"/>
    <s v="Printer"/>
    <x v="3"/>
    <n v="666.52"/>
    <s v="619 Main St"/>
    <s v="Cash"/>
    <s v="Shipped"/>
    <s v="TRK32287092"/>
    <n v="8"/>
    <s v="FREESHIP"/>
    <x v="2"/>
    <n v="2666.08"/>
    <x v="3"/>
  </r>
  <r>
    <s v="ORD200695"/>
    <d v="2024-11-23T00:00:00"/>
    <s v="C52604"/>
    <s v="Printer"/>
    <x v="0"/>
    <n v="101.3"/>
    <s v="553 Main St"/>
    <s v="Online"/>
    <s v="Shipped"/>
    <s v="TRK48839788"/>
    <n v="7"/>
    <s v="FREESHIP"/>
    <x v="2"/>
    <n v="506.5"/>
    <x v="7"/>
  </r>
  <r>
    <s v="ORD200696"/>
    <d v="2023-07-02T00:00:00"/>
    <s v="C22429"/>
    <s v="Chair"/>
    <x v="3"/>
    <n v="151.19999999999999"/>
    <s v="965 Main St"/>
    <s v="Gift Card"/>
    <s v="Pending"/>
    <s v="TRK38572927"/>
    <n v="9"/>
    <s v="WINTER15"/>
    <x v="3"/>
    <n v="604.79999999999995"/>
    <x v="10"/>
  </r>
  <r>
    <s v="ORD200697"/>
    <d v="2025-02-04T00:00:00"/>
    <s v="C27430"/>
    <s v="Printer"/>
    <x v="0"/>
    <n v="94.85"/>
    <s v="788 Main St"/>
    <s v="Cash"/>
    <s v="Shipped"/>
    <s v="TRK45025840"/>
    <n v="6"/>
    <s v="WINTER15"/>
    <x v="2"/>
    <n v="474.25"/>
    <x v="2"/>
  </r>
  <r>
    <s v="ORD200698"/>
    <d v="2023-01-04T00:00:00"/>
    <s v="C44366"/>
    <s v="Laptop"/>
    <x v="1"/>
    <n v="388.22"/>
    <s v="169 Main St"/>
    <s v="Cash"/>
    <s v="Delivered"/>
    <s v="TRK48658394"/>
    <n v="2"/>
    <s v="WINTER15"/>
    <x v="0"/>
    <n v="776.44"/>
    <x v="0"/>
  </r>
  <r>
    <s v="ORD200699"/>
    <d v="2023-11-13T00:00:00"/>
    <s v="C36813"/>
    <s v="Laptop"/>
    <x v="4"/>
    <n v="614.15"/>
    <s v="897 Main St"/>
    <s v="Gift Card"/>
    <s v="Cancelled"/>
    <s v="TRK84088900"/>
    <n v="3"/>
    <m/>
    <x v="3"/>
    <n v="1842.45"/>
    <x v="7"/>
  </r>
  <r>
    <s v="ORD200700"/>
    <d v="2024-09-25T00:00:00"/>
    <s v="C40201"/>
    <s v="Laptop"/>
    <x v="1"/>
    <n v="92.91"/>
    <s v="555 Main St"/>
    <s v="Cash"/>
    <s v="Returned"/>
    <s v="TRK30198779"/>
    <n v="3"/>
    <s v="WINTER15"/>
    <x v="0"/>
    <n v="185.82"/>
    <x v="11"/>
  </r>
  <r>
    <s v="ORD200701"/>
    <d v="2024-06-23T00:00:00"/>
    <s v="C75456"/>
    <s v="Monitor"/>
    <x v="4"/>
    <n v="92.22"/>
    <s v="115 Main St"/>
    <s v="Credit Card"/>
    <s v="Delivered"/>
    <s v="TRK90519490"/>
    <n v="5"/>
    <s v="FREESHIP"/>
    <x v="2"/>
    <n v="276.66000000000003"/>
    <x v="5"/>
  </r>
  <r>
    <s v="ORD200702"/>
    <d v="2024-06-09T00:00:00"/>
    <s v="C33315"/>
    <s v="Printer"/>
    <x v="4"/>
    <n v="562.54999999999995"/>
    <s v="154 Main St"/>
    <s v="Debit Card"/>
    <s v="Returned"/>
    <s v="TRK43589369"/>
    <n v="6"/>
    <m/>
    <x v="2"/>
    <n v="1687.65"/>
    <x v="5"/>
  </r>
  <r>
    <s v="ORD200703"/>
    <d v="2023-03-22T00:00:00"/>
    <s v="C89336"/>
    <s v="Desk"/>
    <x v="2"/>
    <n v="92.79"/>
    <s v="799 Main St"/>
    <s v="Cash"/>
    <s v="Pending"/>
    <s v="TRK47665103"/>
    <n v="3"/>
    <s v="WINTER15"/>
    <x v="2"/>
    <n v="92.79"/>
    <x v="9"/>
  </r>
  <r>
    <s v="ORD200704"/>
    <d v="2023-06-03T00:00:00"/>
    <s v="C96034"/>
    <s v="Desk"/>
    <x v="3"/>
    <n v="30.27"/>
    <s v="819 Main St"/>
    <s v="Online"/>
    <s v="Delivered"/>
    <s v="TRK87261034"/>
    <n v="9"/>
    <s v="FREESHIP"/>
    <x v="4"/>
    <n v="121.08"/>
    <x v="5"/>
  </r>
  <r>
    <s v="ORD200705"/>
    <d v="2025-03-30T00:00:00"/>
    <s v="C50114"/>
    <s v="Monitor"/>
    <x v="1"/>
    <n v="49.08"/>
    <s v="420 Main St"/>
    <s v="Debit Card"/>
    <s v="Returned"/>
    <s v="TRK20214786"/>
    <n v="7"/>
    <s v="FREESHIP"/>
    <x v="0"/>
    <n v="98.16"/>
    <x v="9"/>
  </r>
  <r>
    <s v="ORD200706"/>
    <d v="2025-03-02T00:00:00"/>
    <s v="C85330"/>
    <s v="Desk"/>
    <x v="0"/>
    <n v="228.09"/>
    <s v="969 Main St"/>
    <s v="Gift Card"/>
    <s v="Returned"/>
    <s v="TRK97693301"/>
    <n v="9"/>
    <s v="FREESHIP"/>
    <x v="3"/>
    <n v="1140.45"/>
    <x v="9"/>
  </r>
  <r>
    <s v="ORD200707"/>
    <d v="2024-11-01T00:00:00"/>
    <s v="C31761"/>
    <s v="Chair"/>
    <x v="3"/>
    <n v="650.04"/>
    <s v="989 Main St"/>
    <s v="Gift Card"/>
    <s v="Cancelled"/>
    <s v="TRK17628852"/>
    <n v="6"/>
    <s v="SAVE10"/>
    <x v="3"/>
    <n v="2600.16"/>
    <x v="7"/>
  </r>
  <r>
    <s v="ORD200708"/>
    <d v="2025-03-04T00:00:00"/>
    <s v="C25268"/>
    <s v="Printer"/>
    <x v="2"/>
    <n v="665.11"/>
    <s v="788 Main St"/>
    <s v="Cash"/>
    <s v="Pending"/>
    <s v="TRK20481215"/>
    <n v="3"/>
    <s v="FREESHIP"/>
    <x v="0"/>
    <n v="665.11"/>
    <x v="9"/>
  </r>
  <r>
    <s v="ORD200709"/>
    <d v="2024-12-07T00:00:00"/>
    <s v="C17132"/>
    <s v="Desk"/>
    <x v="2"/>
    <n v="386.03"/>
    <s v="855 Main St"/>
    <s v="Online"/>
    <s v="Pending"/>
    <s v="TRK37504692"/>
    <n v="4"/>
    <s v="FREESHIP"/>
    <x v="4"/>
    <n v="386.03"/>
    <x v="8"/>
  </r>
  <r>
    <s v="ORD200710"/>
    <d v="2024-07-22T00:00:00"/>
    <s v="C48790"/>
    <s v="Laptop"/>
    <x v="0"/>
    <n v="21.54"/>
    <s v="113 Main St"/>
    <s v="Gift Card"/>
    <s v="Returned"/>
    <s v="TRK19086608"/>
    <n v="10"/>
    <m/>
    <x v="4"/>
    <n v="107.7"/>
    <x v="10"/>
  </r>
  <r>
    <s v="ORD200711"/>
    <d v="2024-07-04T00:00:00"/>
    <s v="C61070"/>
    <s v="Tablet"/>
    <x v="1"/>
    <n v="475.78"/>
    <s v="632 Main St"/>
    <s v="Online"/>
    <s v="Shipped"/>
    <s v="TRK90764894"/>
    <n v="2"/>
    <s v="WINTER15"/>
    <x v="4"/>
    <n v="951.56"/>
    <x v="10"/>
  </r>
  <r>
    <s v="ORD200712"/>
    <d v="2024-01-09T00:00:00"/>
    <s v="C56969"/>
    <s v="Tablet"/>
    <x v="1"/>
    <n v="68.400000000000006"/>
    <s v="993 Main St"/>
    <s v="Gift Card"/>
    <s v="Pending"/>
    <s v="TRK10513339"/>
    <n v="7"/>
    <s v="FREESHIP"/>
    <x v="2"/>
    <n v="136.80000000000001"/>
    <x v="0"/>
  </r>
  <r>
    <s v="ORD200713"/>
    <d v="2025-06-21T00:00:00"/>
    <s v="C65056"/>
    <s v="Tablet"/>
    <x v="3"/>
    <n v="532.49"/>
    <s v="638 Main St"/>
    <s v="Online"/>
    <s v="Cancelled"/>
    <s v="TRK31705278"/>
    <n v="6"/>
    <s v="SAVE10"/>
    <x v="3"/>
    <n v="2129.96"/>
    <x v="5"/>
  </r>
  <r>
    <s v="ORD200714"/>
    <d v="2023-04-21T00:00:00"/>
    <s v="C84888"/>
    <s v="Laptop"/>
    <x v="2"/>
    <n v="51.73"/>
    <s v="278 Main St"/>
    <s v="Debit Card"/>
    <s v="Pending"/>
    <s v="TRK23612847"/>
    <n v="1"/>
    <s v="FREESHIP"/>
    <x v="3"/>
    <n v="51.73"/>
    <x v="6"/>
  </r>
  <r>
    <s v="ORD200715"/>
    <d v="2024-07-26T00:00:00"/>
    <s v="C68266"/>
    <s v="Printer"/>
    <x v="4"/>
    <n v="653.63"/>
    <s v="281 Main St"/>
    <s v="Online"/>
    <s v="Delivered"/>
    <s v="TRK96161062"/>
    <n v="7"/>
    <s v="FREESHIP"/>
    <x v="2"/>
    <n v="1960.89"/>
    <x v="10"/>
  </r>
  <r>
    <s v="ORD200716"/>
    <d v="2024-06-13T00:00:00"/>
    <s v="C84115"/>
    <s v="Chair"/>
    <x v="4"/>
    <n v="454.29"/>
    <s v="891 Main St"/>
    <s v="Credit Card"/>
    <s v="Pending"/>
    <s v="TRK25466842"/>
    <n v="4"/>
    <s v="WINTER15"/>
    <x v="4"/>
    <n v="1362.87"/>
    <x v="5"/>
  </r>
  <r>
    <s v="ORD200717"/>
    <d v="2023-10-16T00:00:00"/>
    <s v="C50087"/>
    <s v="Chair"/>
    <x v="4"/>
    <n v="122.11"/>
    <s v="707 Main St"/>
    <s v="Online"/>
    <s v="Delivered"/>
    <s v="TRK31143760"/>
    <n v="4"/>
    <s v="WINTER15"/>
    <x v="2"/>
    <n v="366.33"/>
    <x v="3"/>
  </r>
  <r>
    <s v="ORD200718"/>
    <d v="2023-04-08T00:00:00"/>
    <s v="C16790"/>
    <s v="Laptop"/>
    <x v="3"/>
    <n v="64.739999999999995"/>
    <s v="718 Main St"/>
    <s v="Gift Card"/>
    <s v="Cancelled"/>
    <s v="TRK91791367"/>
    <n v="8"/>
    <s v="SAVE10"/>
    <x v="4"/>
    <n v="258.95999999999998"/>
    <x v="6"/>
  </r>
  <r>
    <s v="ORD200719"/>
    <d v="2024-01-21T00:00:00"/>
    <s v="C46920"/>
    <s v="Laptop"/>
    <x v="1"/>
    <n v="681.06"/>
    <s v="703 Main St"/>
    <s v="Debit Card"/>
    <s v="Shipped"/>
    <s v="TRK86403837"/>
    <n v="3"/>
    <s v="FREESHIP"/>
    <x v="3"/>
    <n v="1362.12"/>
    <x v="0"/>
  </r>
  <r>
    <s v="ORD200720"/>
    <d v="2023-09-21T00:00:00"/>
    <s v="C12740"/>
    <s v="Desk"/>
    <x v="0"/>
    <n v="128.94999999999999"/>
    <s v="305 Main St"/>
    <s v="Cash"/>
    <s v="Pending"/>
    <s v="TRK98506513"/>
    <n v="10"/>
    <s v="FREESHIP"/>
    <x v="0"/>
    <n v="644.75"/>
    <x v="11"/>
  </r>
  <r>
    <s v="ORD200721"/>
    <d v="2024-03-18T00:00:00"/>
    <s v="C46557"/>
    <s v="Desk"/>
    <x v="1"/>
    <n v="118.59"/>
    <s v="890 Main St"/>
    <s v="Credit Card"/>
    <s v="Delivered"/>
    <s v="TRK56110689"/>
    <n v="2"/>
    <m/>
    <x v="2"/>
    <n v="237.18"/>
    <x v="9"/>
  </r>
  <r>
    <s v="ORD200722"/>
    <d v="2024-11-15T00:00:00"/>
    <s v="C58156"/>
    <s v="Printer"/>
    <x v="2"/>
    <n v="95.1"/>
    <s v="516 Main St"/>
    <s v="Gift Card"/>
    <s v="Pending"/>
    <s v="TRK49719458"/>
    <n v="1"/>
    <s v="WINTER15"/>
    <x v="0"/>
    <n v="95.1"/>
    <x v="7"/>
  </r>
  <r>
    <s v="ORD200723"/>
    <d v="2023-12-09T00:00:00"/>
    <s v="C14455"/>
    <s v="Desk"/>
    <x v="4"/>
    <n v="54.95"/>
    <s v="385 Main St"/>
    <s v="Cash"/>
    <s v="Returned"/>
    <s v="TRK50933724"/>
    <n v="8"/>
    <s v="SAVE10"/>
    <x v="1"/>
    <n v="164.85"/>
    <x v="8"/>
  </r>
  <r>
    <s v="ORD200724"/>
    <d v="2024-10-18T00:00:00"/>
    <s v="C63150"/>
    <s v="Printer"/>
    <x v="4"/>
    <n v="136.97"/>
    <s v="326 Main St"/>
    <s v="Credit Card"/>
    <s v="Returned"/>
    <s v="TRK19348078"/>
    <n v="4"/>
    <s v="FREESHIP"/>
    <x v="1"/>
    <n v="410.91"/>
    <x v="3"/>
  </r>
  <r>
    <s v="ORD200725"/>
    <d v="2023-03-12T00:00:00"/>
    <s v="C95269"/>
    <s v="Chair"/>
    <x v="1"/>
    <n v="194.85"/>
    <s v="372 Main St"/>
    <s v="Gift Card"/>
    <s v="Returned"/>
    <s v="TRK45670926"/>
    <n v="5"/>
    <m/>
    <x v="1"/>
    <n v="389.7"/>
    <x v="9"/>
  </r>
  <r>
    <s v="ORD200726"/>
    <d v="2024-10-25T00:00:00"/>
    <s v="C18105"/>
    <s v="Laptop"/>
    <x v="3"/>
    <n v="583.02"/>
    <s v="338 Main St"/>
    <s v="Online"/>
    <s v="Delivered"/>
    <s v="TRK94006117"/>
    <n v="4"/>
    <s v="FREESHIP"/>
    <x v="3"/>
    <n v="2332.08"/>
    <x v="3"/>
  </r>
  <r>
    <s v="ORD200727"/>
    <d v="2024-09-29T00:00:00"/>
    <s v="C29063"/>
    <s v="Chair"/>
    <x v="0"/>
    <n v="95.75"/>
    <s v="379 Main St"/>
    <s v="Online"/>
    <s v="Shipped"/>
    <s v="TRK92745947"/>
    <n v="8"/>
    <s v="SAVE10"/>
    <x v="0"/>
    <n v="478.75"/>
    <x v="11"/>
  </r>
  <r>
    <s v="ORD200728"/>
    <d v="2024-07-29T00:00:00"/>
    <s v="C10154"/>
    <s v="Desk"/>
    <x v="3"/>
    <n v="325.76"/>
    <s v="827 Main St"/>
    <s v="Gift Card"/>
    <s v="Shipped"/>
    <s v="TRK79793300"/>
    <n v="8"/>
    <s v="WINTER15"/>
    <x v="2"/>
    <n v="1303.04"/>
    <x v="10"/>
  </r>
  <r>
    <s v="ORD200729"/>
    <d v="2023-09-08T00:00:00"/>
    <s v="C36997"/>
    <s v="Phone"/>
    <x v="3"/>
    <n v="186.41"/>
    <s v="819 Main St"/>
    <s v="Gift Card"/>
    <s v="Pending"/>
    <s v="TRK92794872"/>
    <n v="6"/>
    <s v="SAVE10"/>
    <x v="4"/>
    <n v="745.64"/>
    <x v="11"/>
  </r>
  <r>
    <s v="ORD200730"/>
    <d v="2025-02-22T00:00:00"/>
    <s v="C77357"/>
    <s v="Phone"/>
    <x v="2"/>
    <n v="474.6"/>
    <s v="407 Main St"/>
    <s v="Debit Card"/>
    <s v="Delivered"/>
    <s v="TRK91943923"/>
    <n v="4"/>
    <s v="SAVE10"/>
    <x v="2"/>
    <n v="474.6"/>
    <x v="2"/>
  </r>
  <r>
    <s v="ORD200731"/>
    <d v="2024-06-07T00:00:00"/>
    <s v="C71310"/>
    <s v="Printer"/>
    <x v="0"/>
    <n v="584.46"/>
    <s v="308 Main St"/>
    <s v="Credit Card"/>
    <s v="Returned"/>
    <s v="TRK48292586"/>
    <n v="8"/>
    <m/>
    <x v="2"/>
    <n v="2922.3"/>
    <x v="5"/>
  </r>
  <r>
    <s v="ORD200732"/>
    <d v="2025-03-07T00:00:00"/>
    <s v="C80987"/>
    <s v="Laptop"/>
    <x v="2"/>
    <n v="132.05000000000001"/>
    <s v="787 Main St"/>
    <s v="Online"/>
    <s v="Delivered"/>
    <s v="TRK42187776"/>
    <n v="2"/>
    <m/>
    <x v="4"/>
    <n v="132.05000000000001"/>
    <x v="9"/>
  </r>
  <r>
    <s v="ORD200733"/>
    <d v="2023-12-04T00:00:00"/>
    <s v="C90757"/>
    <s v="Tablet"/>
    <x v="3"/>
    <n v="494.84"/>
    <s v="694 Main St"/>
    <s v="Cash"/>
    <s v="Returned"/>
    <s v="TRK87991608"/>
    <n v="8"/>
    <s v="SAVE10"/>
    <x v="2"/>
    <n v="1979.36"/>
    <x v="8"/>
  </r>
  <r>
    <s v="ORD200734"/>
    <d v="2024-01-23T00:00:00"/>
    <s v="C51898"/>
    <s v="Printer"/>
    <x v="3"/>
    <n v="224.61"/>
    <s v="630 Main St"/>
    <s v="Credit Card"/>
    <s v="Returned"/>
    <s v="TRK19767885"/>
    <n v="6"/>
    <s v="WINTER15"/>
    <x v="3"/>
    <n v="898.44"/>
    <x v="0"/>
  </r>
  <r>
    <s v="ORD200735"/>
    <d v="2024-06-28T00:00:00"/>
    <s v="C94508"/>
    <s v="Monitor"/>
    <x v="3"/>
    <n v="44.07"/>
    <s v="359 Main St"/>
    <s v="Debit Card"/>
    <s v="Pending"/>
    <s v="TRK13443264"/>
    <n v="6"/>
    <m/>
    <x v="2"/>
    <n v="176.28"/>
    <x v="5"/>
  </r>
  <r>
    <s v="ORD200736"/>
    <d v="2024-02-09T00:00:00"/>
    <s v="C59441"/>
    <s v="Monitor"/>
    <x v="0"/>
    <n v="418.53"/>
    <s v="696 Main St"/>
    <s v="Credit Card"/>
    <s v="Pending"/>
    <s v="TRK66186874"/>
    <n v="6"/>
    <s v="FREESHIP"/>
    <x v="4"/>
    <n v="2092.65"/>
    <x v="2"/>
  </r>
  <r>
    <s v="ORD200737"/>
    <d v="2024-01-03T00:00:00"/>
    <s v="C91029"/>
    <s v="Phone"/>
    <x v="3"/>
    <n v="532.87"/>
    <s v="972 Main St"/>
    <s v="Cash"/>
    <s v="Pending"/>
    <s v="TRK25501930"/>
    <n v="9"/>
    <s v="FREESHIP"/>
    <x v="0"/>
    <n v="2131.48"/>
    <x v="0"/>
  </r>
  <r>
    <s v="ORD200738"/>
    <d v="2025-06-04T00:00:00"/>
    <s v="C96261"/>
    <s v="Phone"/>
    <x v="1"/>
    <n v="485.37"/>
    <s v="264 Main St"/>
    <s v="Credit Card"/>
    <s v="Shipped"/>
    <s v="TRK44998396"/>
    <n v="5"/>
    <s v="SAVE10"/>
    <x v="2"/>
    <n v="970.74"/>
    <x v="5"/>
  </r>
  <r>
    <s v="ORD200739"/>
    <d v="2024-06-13T00:00:00"/>
    <s v="C35123"/>
    <s v="Phone"/>
    <x v="3"/>
    <n v="386.73"/>
    <s v="513 Main St"/>
    <s v="Cash"/>
    <s v="Delivered"/>
    <s v="TRK58979275"/>
    <n v="4"/>
    <s v="SAVE10"/>
    <x v="3"/>
    <n v="1546.92"/>
    <x v="5"/>
  </r>
  <r>
    <s v="ORD200740"/>
    <d v="2024-07-20T00:00:00"/>
    <s v="C10892"/>
    <s v="Desk"/>
    <x v="1"/>
    <n v="377.47"/>
    <s v="433 Main St"/>
    <s v="Cash"/>
    <s v="Pending"/>
    <s v="TRK76154554"/>
    <n v="7"/>
    <m/>
    <x v="4"/>
    <n v="754.94"/>
    <x v="10"/>
  </r>
  <r>
    <s v="ORD200741"/>
    <d v="2025-01-23T00:00:00"/>
    <s v="C99683"/>
    <s v="Monitor"/>
    <x v="0"/>
    <n v="332.64"/>
    <s v="945 Main St"/>
    <s v="Gift Card"/>
    <s v="Delivered"/>
    <s v="TRK87305883"/>
    <n v="10"/>
    <m/>
    <x v="1"/>
    <n v="1663.2"/>
    <x v="0"/>
  </r>
  <r>
    <s v="ORD200742"/>
    <d v="2024-11-30T00:00:00"/>
    <s v="C41974"/>
    <s v="Laptop"/>
    <x v="4"/>
    <n v="699.93"/>
    <s v="726 Main St"/>
    <s v="Cash"/>
    <s v="Returned"/>
    <s v="TRK48051468"/>
    <n v="7"/>
    <s v="SAVE10"/>
    <x v="4"/>
    <n v="2099.79"/>
    <x v="7"/>
  </r>
  <r>
    <s v="ORD200743"/>
    <d v="2024-09-30T00:00:00"/>
    <s v="C23978"/>
    <s v="Monitor"/>
    <x v="2"/>
    <n v="576.35"/>
    <s v="549 Main St"/>
    <s v="Gift Card"/>
    <s v="Returned"/>
    <s v="TRK87090813"/>
    <n v="1"/>
    <s v="WINTER15"/>
    <x v="0"/>
    <n v="576.35"/>
    <x v="11"/>
  </r>
  <r>
    <s v="ORD200744"/>
    <d v="2024-06-12T00:00:00"/>
    <s v="C10642"/>
    <s v="Tablet"/>
    <x v="1"/>
    <n v="461.37"/>
    <s v="200 Main St"/>
    <s v="Cash"/>
    <s v="Delivered"/>
    <s v="TRK98725693"/>
    <n v="5"/>
    <s v="SAVE10"/>
    <x v="4"/>
    <n v="922.74"/>
    <x v="5"/>
  </r>
  <r>
    <s v="ORD200745"/>
    <d v="2023-03-02T00:00:00"/>
    <s v="C73813"/>
    <s v="Printer"/>
    <x v="3"/>
    <n v="111.3"/>
    <s v="364 Main St"/>
    <s v="Debit Card"/>
    <s v="Pending"/>
    <s v="TRK89906749"/>
    <n v="7"/>
    <s v="FREESHIP"/>
    <x v="2"/>
    <n v="445.2"/>
    <x v="9"/>
  </r>
  <r>
    <s v="ORD200746"/>
    <d v="2025-02-24T00:00:00"/>
    <s v="C32183"/>
    <s v="Desk"/>
    <x v="4"/>
    <n v="661.89"/>
    <s v="551 Main St"/>
    <s v="Online"/>
    <s v="Cancelled"/>
    <s v="TRK76287027"/>
    <n v="6"/>
    <s v="WINTER15"/>
    <x v="1"/>
    <n v="1985.67"/>
    <x v="2"/>
  </r>
  <r>
    <s v="ORD200747"/>
    <d v="2025-03-12T00:00:00"/>
    <s v="C54277"/>
    <s v="Tablet"/>
    <x v="1"/>
    <n v="259.58"/>
    <s v="940 Main St"/>
    <s v="Debit Card"/>
    <s v="Delivered"/>
    <s v="TRK26500181"/>
    <n v="7"/>
    <s v="FREESHIP"/>
    <x v="0"/>
    <n v="519.16"/>
    <x v="9"/>
  </r>
  <r>
    <s v="ORD200748"/>
    <d v="2024-07-15T00:00:00"/>
    <s v="C56553"/>
    <s v="Tablet"/>
    <x v="4"/>
    <n v="70.81"/>
    <s v="249 Main St"/>
    <s v="Credit Card"/>
    <s v="Shipped"/>
    <s v="TRK37667360"/>
    <n v="8"/>
    <s v="FREESHIP"/>
    <x v="1"/>
    <n v="212.43"/>
    <x v="10"/>
  </r>
  <r>
    <s v="ORD200749"/>
    <d v="2025-04-13T00:00:00"/>
    <s v="C17551"/>
    <s v="Laptop"/>
    <x v="2"/>
    <n v="518.39"/>
    <s v="997 Main St"/>
    <s v="Debit Card"/>
    <s v="Pending"/>
    <s v="TRK88797170"/>
    <n v="4"/>
    <s v="FREESHIP"/>
    <x v="0"/>
    <n v="518.39"/>
    <x v="6"/>
  </r>
  <r>
    <s v="ORD200750"/>
    <d v="2023-01-14T00:00:00"/>
    <s v="C14737"/>
    <s v="Tablet"/>
    <x v="3"/>
    <n v="145.41"/>
    <s v="637 Main St"/>
    <s v="Credit Card"/>
    <s v="Returned"/>
    <s v="TRK10295115"/>
    <n v="7"/>
    <s v="FREESHIP"/>
    <x v="2"/>
    <n v="581.64"/>
    <x v="0"/>
  </r>
  <r>
    <s v="ORD200751"/>
    <d v="2023-01-24T00:00:00"/>
    <s v="C35168"/>
    <s v="Tablet"/>
    <x v="1"/>
    <n v="599.86"/>
    <s v="455 Main St"/>
    <s v="Gift Card"/>
    <s v="Pending"/>
    <s v="TRK76960854"/>
    <n v="7"/>
    <s v="FREESHIP"/>
    <x v="3"/>
    <n v="1199.72"/>
    <x v="0"/>
  </r>
  <r>
    <s v="ORD200752"/>
    <d v="2024-10-03T00:00:00"/>
    <s v="C82217"/>
    <s v="Phone"/>
    <x v="3"/>
    <n v="429.37"/>
    <s v="299 Main St"/>
    <s v="Credit Card"/>
    <s v="Delivered"/>
    <s v="TRK33305694"/>
    <n v="8"/>
    <s v="FREESHIP"/>
    <x v="4"/>
    <n v="1717.48"/>
    <x v="3"/>
  </r>
  <r>
    <s v="ORD200753"/>
    <d v="2024-04-24T00:00:00"/>
    <s v="C42270"/>
    <s v="Phone"/>
    <x v="1"/>
    <n v="241.49"/>
    <s v="864 Main St"/>
    <s v="Debit Card"/>
    <s v="Returned"/>
    <s v="TRK72697796"/>
    <n v="7"/>
    <s v="FREESHIP"/>
    <x v="0"/>
    <n v="482.98"/>
    <x v="6"/>
  </r>
  <r>
    <s v="ORD200754"/>
    <d v="2025-05-31T00:00:00"/>
    <s v="C48846"/>
    <s v="Printer"/>
    <x v="1"/>
    <n v="452.05"/>
    <s v="983 Main St"/>
    <s v="Credit Card"/>
    <s v="Returned"/>
    <s v="TRK52804097"/>
    <n v="3"/>
    <s v="WINTER15"/>
    <x v="2"/>
    <n v="904.1"/>
    <x v="4"/>
  </r>
  <r>
    <s v="ORD200755"/>
    <d v="2023-06-13T00:00:00"/>
    <s v="C54160"/>
    <s v="Desk"/>
    <x v="4"/>
    <n v="336.71"/>
    <s v="658 Main St"/>
    <s v="Credit Card"/>
    <s v="Pending"/>
    <s v="TRK60515972"/>
    <n v="4"/>
    <m/>
    <x v="2"/>
    <n v="1010.13"/>
    <x v="5"/>
  </r>
  <r>
    <s v="ORD200756"/>
    <d v="2024-06-27T00:00:00"/>
    <s v="C14080"/>
    <s v="Phone"/>
    <x v="2"/>
    <n v="283.69"/>
    <s v="202 Main St"/>
    <s v="Gift Card"/>
    <s v="Shipped"/>
    <s v="TRK93163682"/>
    <n v="6"/>
    <m/>
    <x v="4"/>
    <n v="283.69"/>
    <x v="5"/>
  </r>
  <r>
    <s v="ORD200757"/>
    <d v="2024-02-22T00:00:00"/>
    <s v="C81074"/>
    <s v="Desk"/>
    <x v="2"/>
    <n v="157.72"/>
    <s v="597 Main St"/>
    <s v="Debit Card"/>
    <s v="Delivered"/>
    <s v="TRK91105190"/>
    <n v="2"/>
    <s v="FREESHIP"/>
    <x v="4"/>
    <n v="157.72"/>
    <x v="2"/>
  </r>
  <r>
    <s v="ORD200758"/>
    <d v="2023-03-26T00:00:00"/>
    <s v="C69021"/>
    <s v="Tablet"/>
    <x v="4"/>
    <n v="624.84"/>
    <s v="917 Main St"/>
    <s v="Credit Card"/>
    <s v="Cancelled"/>
    <s v="TRK57148510"/>
    <n v="8"/>
    <s v="WINTER15"/>
    <x v="3"/>
    <n v="1874.52"/>
    <x v="9"/>
  </r>
  <r>
    <s v="ORD200759"/>
    <d v="2023-07-24T00:00:00"/>
    <s v="C96283"/>
    <s v="Desk"/>
    <x v="4"/>
    <n v="308.01"/>
    <s v="366 Main St"/>
    <s v="Cash"/>
    <s v="Pending"/>
    <s v="TRK91784124"/>
    <n v="3"/>
    <s v="FREESHIP"/>
    <x v="3"/>
    <n v="924.03"/>
    <x v="10"/>
  </r>
  <r>
    <s v="ORD200760"/>
    <d v="2025-02-18T00:00:00"/>
    <s v="C96636"/>
    <s v="Desk"/>
    <x v="2"/>
    <n v="39.56"/>
    <s v="283 Main St"/>
    <s v="Debit Card"/>
    <s v="Cancelled"/>
    <s v="TRK73324346"/>
    <n v="5"/>
    <m/>
    <x v="4"/>
    <n v="39.56"/>
    <x v="2"/>
  </r>
  <r>
    <s v="ORD200761"/>
    <d v="2023-06-02T00:00:00"/>
    <s v="C37235"/>
    <s v="Desk"/>
    <x v="3"/>
    <n v="37.76"/>
    <s v="217 Main St"/>
    <s v="Debit Card"/>
    <s v="Delivered"/>
    <s v="TRK67789367"/>
    <n v="7"/>
    <m/>
    <x v="4"/>
    <n v="151.04"/>
    <x v="5"/>
  </r>
  <r>
    <s v="ORD200762"/>
    <d v="2024-09-17T00:00:00"/>
    <s v="C12444"/>
    <s v="Phone"/>
    <x v="4"/>
    <n v="76.959999999999994"/>
    <s v="611 Main St"/>
    <s v="Cash"/>
    <s v="Returned"/>
    <s v="TRK97621403"/>
    <n v="8"/>
    <s v="FREESHIP"/>
    <x v="2"/>
    <n v="230.88"/>
    <x v="11"/>
  </r>
  <r>
    <s v="ORD200763"/>
    <d v="2023-04-06T00:00:00"/>
    <s v="C79142"/>
    <s v="Laptop"/>
    <x v="2"/>
    <n v="569.96"/>
    <s v="533 Main St"/>
    <s v="Online"/>
    <s v="Delivered"/>
    <s v="TRK30915955"/>
    <n v="4"/>
    <s v="FREESHIP"/>
    <x v="2"/>
    <n v="569.96"/>
    <x v="6"/>
  </r>
  <r>
    <s v="ORD200764"/>
    <d v="2024-03-10T00:00:00"/>
    <s v="C35983"/>
    <s v="Laptop"/>
    <x v="0"/>
    <n v="627.42999999999995"/>
    <s v="806 Main St"/>
    <s v="Credit Card"/>
    <s v="Cancelled"/>
    <s v="TRK14016163"/>
    <n v="10"/>
    <s v="FREESHIP"/>
    <x v="2"/>
    <n v="3137.15"/>
    <x v="9"/>
  </r>
  <r>
    <s v="ORD200765"/>
    <d v="2023-10-06T00:00:00"/>
    <s v="C36150"/>
    <s v="Laptop"/>
    <x v="1"/>
    <n v="534.91"/>
    <s v="281 Main St"/>
    <s v="Debit Card"/>
    <s v="Returned"/>
    <s v="TRK96249043"/>
    <n v="5"/>
    <s v="SAVE10"/>
    <x v="4"/>
    <n v="1069.82"/>
    <x v="3"/>
  </r>
  <r>
    <s v="ORD200766"/>
    <d v="2023-01-22T00:00:00"/>
    <s v="C91454"/>
    <s v="Printer"/>
    <x v="1"/>
    <n v="278.88"/>
    <s v="494 Main St"/>
    <s v="Debit Card"/>
    <s v="Pending"/>
    <s v="TRK99985340"/>
    <n v="3"/>
    <s v="FREESHIP"/>
    <x v="1"/>
    <n v="557.76"/>
    <x v="0"/>
  </r>
  <r>
    <s v="ORD200767"/>
    <d v="2025-04-18T00:00:00"/>
    <s v="C19368"/>
    <s v="Tablet"/>
    <x v="1"/>
    <n v="323.22000000000003"/>
    <s v="517 Main St"/>
    <s v="Credit Card"/>
    <s v="Delivered"/>
    <s v="TRK80436037"/>
    <n v="7"/>
    <m/>
    <x v="0"/>
    <n v="646.44000000000005"/>
    <x v="6"/>
  </r>
  <r>
    <s v="ORD200768"/>
    <d v="2023-09-04T00:00:00"/>
    <s v="C35987"/>
    <s v="Tablet"/>
    <x v="0"/>
    <n v="653.46"/>
    <s v="165 Main St"/>
    <s v="Cash"/>
    <s v="Cancelled"/>
    <s v="TRK28918815"/>
    <n v="9"/>
    <s v="WINTER15"/>
    <x v="2"/>
    <n v="3267.3"/>
    <x v="11"/>
  </r>
  <r>
    <s v="ORD200769"/>
    <d v="2023-07-06T00:00:00"/>
    <s v="C13366"/>
    <s v="Printer"/>
    <x v="3"/>
    <n v="678.55"/>
    <s v="568 Main St"/>
    <s v="Cash"/>
    <s v="Delivered"/>
    <s v="TRK98691410"/>
    <n v="5"/>
    <m/>
    <x v="2"/>
    <n v="2714.2"/>
    <x v="10"/>
  </r>
  <r>
    <s v="ORD200770"/>
    <d v="2024-02-11T00:00:00"/>
    <s v="C72166"/>
    <s v="Desk"/>
    <x v="2"/>
    <n v="314.38"/>
    <s v="227 Main St"/>
    <s v="Online"/>
    <s v="Returned"/>
    <s v="TRK67733444"/>
    <n v="6"/>
    <m/>
    <x v="4"/>
    <n v="314.38"/>
    <x v="2"/>
  </r>
  <r>
    <s v="ORD200771"/>
    <d v="2024-06-12T00:00:00"/>
    <s v="C20357"/>
    <s v="Phone"/>
    <x v="4"/>
    <n v="692.44"/>
    <s v="272 Main St"/>
    <s v="Debit Card"/>
    <s v="Cancelled"/>
    <s v="TRK82236408"/>
    <n v="8"/>
    <s v="FREESHIP"/>
    <x v="4"/>
    <n v="2077.3200000000002"/>
    <x v="5"/>
  </r>
  <r>
    <s v="ORD200772"/>
    <d v="2024-07-28T00:00:00"/>
    <s v="C33802"/>
    <s v="Monitor"/>
    <x v="2"/>
    <n v="604.87"/>
    <s v="461 Main St"/>
    <s v="Online"/>
    <s v="Delivered"/>
    <s v="TRK25799478"/>
    <n v="4"/>
    <m/>
    <x v="0"/>
    <n v="604.87"/>
    <x v="10"/>
  </r>
  <r>
    <s v="ORD200773"/>
    <d v="2025-06-28T00:00:00"/>
    <s v="C99205"/>
    <s v="Phone"/>
    <x v="1"/>
    <n v="512.33000000000004"/>
    <s v="415 Main St"/>
    <s v="Cash"/>
    <s v="Cancelled"/>
    <s v="TRK48904015"/>
    <n v="7"/>
    <m/>
    <x v="3"/>
    <n v="1024.6600000000001"/>
    <x v="5"/>
  </r>
  <r>
    <s v="ORD200774"/>
    <d v="2025-04-15T00:00:00"/>
    <s v="C29701"/>
    <s v="Chair"/>
    <x v="4"/>
    <n v="20.54"/>
    <s v="257 Main St"/>
    <s v="Credit Card"/>
    <s v="Cancelled"/>
    <s v="TRK42266846"/>
    <n v="3"/>
    <s v="FREESHIP"/>
    <x v="0"/>
    <n v="61.62"/>
    <x v="6"/>
  </r>
  <r>
    <s v="ORD200775"/>
    <d v="2023-03-04T00:00:00"/>
    <s v="C73941"/>
    <s v="Phone"/>
    <x v="1"/>
    <n v="625.22"/>
    <s v="569 Main St"/>
    <s v="Online"/>
    <s v="Cancelled"/>
    <s v="TRK22051900"/>
    <n v="5"/>
    <m/>
    <x v="4"/>
    <n v="1250.44"/>
    <x v="9"/>
  </r>
  <r>
    <s v="ORD200776"/>
    <d v="2023-08-21T00:00:00"/>
    <s v="C69168"/>
    <s v="Tablet"/>
    <x v="2"/>
    <n v="21.19"/>
    <s v="482 Main St"/>
    <s v="Cash"/>
    <s v="Returned"/>
    <s v="TRK10446197"/>
    <n v="5"/>
    <s v="WINTER15"/>
    <x v="4"/>
    <n v="21.19"/>
    <x v="1"/>
  </r>
  <r>
    <s v="ORD200777"/>
    <d v="2025-03-21T00:00:00"/>
    <s v="C66116"/>
    <s v="Chair"/>
    <x v="0"/>
    <n v="64.489999999999995"/>
    <s v="633 Main St"/>
    <s v="Online"/>
    <s v="Cancelled"/>
    <s v="TRK41967983"/>
    <n v="7"/>
    <m/>
    <x v="3"/>
    <n v="322.45"/>
    <x v="9"/>
  </r>
  <r>
    <s v="ORD200778"/>
    <d v="2023-04-28T00:00:00"/>
    <s v="C85059"/>
    <s v="Laptop"/>
    <x v="3"/>
    <n v="246.85"/>
    <s v="316 Main St"/>
    <s v="Credit Card"/>
    <s v="Shipped"/>
    <s v="TRK56503740"/>
    <n v="8"/>
    <s v="WINTER15"/>
    <x v="4"/>
    <n v="987.4"/>
    <x v="6"/>
  </r>
  <r>
    <s v="ORD200779"/>
    <d v="2023-12-01T00:00:00"/>
    <s v="C18076"/>
    <s v="Phone"/>
    <x v="4"/>
    <n v="588.74"/>
    <s v="751 Main St"/>
    <s v="Debit Card"/>
    <s v="Pending"/>
    <s v="TRK26661705"/>
    <n v="8"/>
    <s v="FREESHIP"/>
    <x v="2"/>
    <n v="1766.22"/>
    <x v="8"/>
  </r>
  <r>
    <s v="ORD200780"/>
    <d v="2024-03-31T00:00:00"/>
    <s v="C41284"/>
    <s v="Laptop"/>
    <x v="3"/>
    <n v="184.48"/>
    <s v="661 Main St"/>
    <s v="Online"/>
    <s v="Cancelled"/>
    <s v="TRK73613128"/>
    <n v="4"/>
    <s v="WINTER15"/>
    <x v="4"/>
    <n v="737.92"/>
    <x v="9"/>
  </r>
  <r>
    <s v="ORD200781"/>
    <d v="2024-01-10T00:00:00"/>
    <s v="C43524"/>
    <s v="Phone"/>
    <x v="0"/>
    <n v="524.26"/>
    <s v="934 Main St"/>
    <s v="Gift Card"/>
    <s v="Delivered"/>
    <s v="TRK51479426"/>
    <n v="5"/>
    <s v="FREESHIP"/>
    <x v="1"/>
    <n v="2621.3000000000002"/>
    <x v="0"/>
  </r>
  <r>
    <s v="ORD200782"/>
    <d v="2024-08-11T00:00:00"/>
    <s v="C58063"/>
    <s v="Monitor"/>
    <x v="1"/>
    <n v="493.63"/>
    <s v="167 Main St"/>
    <s v="Online"/>
    <s v="Returned"/>
    <s v="TRK50548869"/>
    <n v="6"/>
    <s v="SAVE10"/>
    <x v="1"/>
    <n v="987.26"/>
    <x v="1"/>
  </r>
  <r>
    <s v="ORD200783"/>
    <d v="2025-05-26T00:00:00"/>
    <s v="C19937"/>
    <s v="Printer"/>
    <x v="2"/>
    <n v="438.34"/>
    <s v="281 Main St"/>
    <s v="Gift Card"/>
    <s v="Returned"/>
    <s v="TRK46990083"/>
    <n v="5"/>
    <s v="FREESHIP"/>
    <x v="3"/>
    <n v="438.34"/>
    <x v="4"/>
  </r>
  <r>
    <s v="ORD200784"/>
    <d v="2025-05-16T00:00:00"/>
    <s v="C21191"/>
    <s v="Laptop"/>
    <x v="2"/>
    <n v="325.81"/>
    <s v="232 Main St"/>
    <s v="Credit Card"/>
    <s v="Pending"/>
    <s v="TRK85771230"/>
    <n v="1"/>
    <s v="WINTER15"/>
    <x v="1"/>
    <n v="325.81"/>
    <x v="4"/>
  </r>
  <r>
    <s v="ORD200785"/>
    <d v="2023-07-29T00:00:00"/>
    <s v="C45862"/>
    <s v="Chair"/>
    <x v="2"/>
    <n v="176.1"/>
    <s v="342 Main St"/>
    <s v="Credit Card"/>
    <s v="Pending"/>
    <s v="TRK53089983"/>
    <n v="1"/>
    <s v="SAVE10"/>
    <x v="0"/>
    <n v="176.1"/>
    <x v="10"/>
  </r>
  <r>
    <s v="ORD200786"/>
    <d v="2023-08-23T00:00:00"/>
    <s v="C39130"/>
    <s v="Chair"/>
    <x v="0"/>
    <n v="45.31"/>
    <s v="774 Main St"/>
    <s v="Online"/>
    <s v="Cancelled"/>
    <s v="TRK99583414"/>
    <n v="8"/>
    <m/>
    <x v="1"/>
    <n v="226.55"/>
    <x v="1"/>
  </r>
  <r>
    <s v="ORD200787"/>
    <d v="2024-03-17T00:00:00"/>
    <s v="C18167"/>
    <s v="Desk"/>
    <x v="3"/>
    <n v="221.96"/>
    <s v="193 Main St"/>
    <s v="Cash"/>
    <s v="Delivered"/>
    <s v="TRK36841089"/>
    <n v="7"/>
    <m/>
    <x v="4"/>
    <n v="887.84"/>
    <x v="9"/>
  </r>
  <r>
    <s v="ORD200788"/>
    <d v="2023-11-02T00:00:00"/>
    <s v="C47307"/>
    <s v="Chair"/>
    <x v="1"/>
    <n v="601.42999999999995"/>
    <s v="761 Main St"/>
    <s v="Online"/>
    <s v="Pending"/>
    <s v="TRK43516112"/>
    <n v="5"/>
    <s v="FREESHIP"/>
    <x v="0"/>
    <n v="1202.8599999999999"/>
    <x v="7"/>
  </r>
  <r>
    <s v="ORD200789"/>
    <d v="2023-08-17T00:00:00"/>
    <s v="C57276"/>
    <s v="Tablet"/>
    <x v="0"/>
    <n v="691.28"/>
    <s v="183 Main St"/>
    <s v="Online"/>
    <s v="Delivered"/>
    <s v="TRK75899752"/>
    <n v="10"/>
    <s v="SAVE10"/>
    <x v="2"/>
    <n v="3456.4"/>
    <x v="1"/>
  </r>
  <r>
    <s v="ORD200790"/>
    <d v="2024-09-14T00:00:00"/>
    <s v="C38928"/>
    <s v="Laptop"/>
    <x v="3"/>
    <n v="417.89"/>
    <s v="302 Main St"/>
    <s v="Gift Card"/>
    <s v="Pending"/>
    <s v="TRK96636009"/>
    <n v="4"/>
    <m/>
    <x v="4"/>
    <n v="1671.56"/>
    <x v="11"/>
  </r>
  <r>
    <s v="ORD200791"/>
    <d v="2024-01-13T00:00:00"/>
    <s v="C49710"/>
    <s v="Chair"/>
    <x v="3"/>
    <n v="409.28"/>
    <s v="956 Main St"/>
    <s v="Cash"/>
    <s v="Pending"/>
    <s v="TRK92591237"/>
    <n v="8"/>
    <m/>
    <x v="2"/>
    <n v="1637.12"/>
    <x v="0"/>
  </r>
  <r>
    <s v="ORD200792"/>
    <d v="2023-06-16T00:00:00"/>
    <s v="C41709"/>
    <s v="Desk"/>
    <x v="1"/>
    <n v="356.35"/>
    <s v="746 Main St"/>
    <s v="Debit Card"/>
    <s v="Returned"/>
    <s v="TRK90995294"/>
    <n v="6"/>
    <s v="WINTER15"/>
    <x v="3"/>
    <n v="712.7"/>
    <x v="5"/>
  </r>
  <r>
    <s v="ORD200793"/>
    <d v="2024-04-15T00:00:00"/>
    <s v="C91255"/>
    <s v="Chair"/>
    <x v="0"/>
    <n v="170.22"/>
    <s v="769 Main St"/>
    <s v="Debit Card"/>
    <s v="Delivered"/>
    <s v="TRK69599961"/>
    <n v="8"/>
    <m/>
    <x v="1"/>
    <n v="851.1"/>
    <x v="6"/>
  </r>
  <r>
    <s v="ORD200794"/>
    <d v="2023-03-09T00:00:00"/>
    <s v="C76653"/>
    <s v="Printer"/>
    <x v="3"/>
    <n v="384.85"/>
    <s v="988 Main St"/>
    <s v="Online"/>
    <s v="Delivered"/>
    <s v="TRK77052196"/>
    <n v="9"/>
    <s v="FREESHIP"/>
    <x v="0"/>
    <n v="1539.4"/>
    <x v="9"/>
  </r>
  <r>
    <s v="ORD200795"/>
    <d v="2024-11-20T00:00:00"/>
    <s v="C95667"/>
    <s v="Laptop"/>
    <x v="3"/>
    <n v="115.77"/>
    <s v="586 Main St"/>
    <s v="Online"/>
    <s v="Pending"/>
    <s v="TRK41266666"/>
    <n v="7"/>
    <s v="SAVE10"/>
    <x v="0"/>
    <n v="463.08"/>
    <x v="7"/>
  </r>
  <r>
    <s v="ORD200796"/>
    <d v="2025-04-29T00:00:00"/>
    <s v="C33313"/>
    <s v="Phone"/>
    <x v="4"/>
    <n v="579.54999999999995"/>
    <s v="882 Main St"/>
    <s v="Gift Card"/>
    <s v="Returned"/>
    <s v="TRK13349970"/>
    <n v="8"/>
    <s v="WINTER15"/>
    <x v="3"/>
    <n v="1738.65"/>
    <x v="6"/>
  </r>
  <r>
    <s v="ORD200797"/>
    <d v="2023-02-27T00:00:00"/>
    <s v="C36825"/>
    <s v="Laptop"/>
    <x v="1"/>
    <n v="438.76"/>
    <s v="426 Main St"/>
    <s v="Debit Card"/>
    <s v="Returned"/>
    <s v="TRK72557318"/>
    <n v="2"/>
    <m/>
    <x v="3"/>
    <n v="877.52"/>
    <x v="2"/>
  </r>
  <r>
    <s v="ORD200798"/>
    <d v="2025-05-19T00:00:00"/>
    <s v="C20861"/>
    <s v="Phone"/>
    <x v="0"/>
    <n v="488.35"/>
    <s v="968 Main St"/>
    <s v="Debit Card"/>
    <s v="Returned"/>
    <s v="TRK89372013"/>
    <n v="9"/>
    <s v="FREESHIP"/>
    <x v="2"/>
    <n v="2441.75"/>
    <x v="4"/>
  </r>
  <r>
    <s v="ORD200799"/>
    <d v="2023-04-16T00:00:00"/>
    <s v="C26364"/>
    <s v="Laptop"/>
    <x v="3"/>
    <n v="328.56"/>
    <s v="803 Main St"/>
    <s v="Debit Card"/>
    <s v="Returned"/>
    <s v="TRK78924436"/>
    <n v="4"/>
    <s v="FREESHIP"/>
    <x v="2"/>
    <n v="1314.24"/>
    <x v="6"/>
  </r>
  <r>
    <s v="ORD200800"/>
    <d v="2025-03-28T00:00:00"/>
    <s v="C34686"/>
    <s v="Tablet"/>
    <x v="2"/>
    <n v="68.39"/>
    <s v="412 Main St"/>
    <s v="Online"/>
    <s v="Returned"/>
    <s v="TRK99468332"/>
    <n v="3"/>
    <s v="WINTER15"/>
    <x v="3"/>
    <n v="68.39"/>
    <x v="9"/>
  </r>
  <r>
    <s v="ORD200801"/>
    <d v="2023-05-03T00:00:00"/>
    <s v="C97593"/>
    <s v="Printer"/>
    <x v="3"/>
    <n v="595.62"/>
    <s v="738 Main St"/>
    <s v="Debit Card"/>
    <s v="Pending"/>
    <s v="TRK58443593"/>
    <n v="8"/>
    <s v="FREESHIP"/>
    <x v="3"/>
    <n v="2382.48"/>
    <x v="4"/>
  </r>
  <r>
    <s v="ORD200802"/>
    <d v="2024-02-17T00:00:00"/>
    <s v="C84331"/>
    <s v="Chair"/>
    <x v="0"/>
    <n v="644.64"/>
    <s v="205 Main St"/>
    <s v="Gift Card"/>
    <s v="Cancelled"/>
    <s v="TRK34440714"/>
    <n v="6"/>
    <s v="FREESHIP"/>
    <x v="2"/>
    <n v="3223.2"/>
    <x v="2"/>
  </r>
  <r>
    <s v="ORD200803"/>
    <d v="2023-08-20T00:00:00"/>
    <s v="C88775"/>
    <s v="Monitor"/>
    <x v="0"/>
    <n v="397.81"/>
    <s v="223 Main St"/>
    <s v="Debit Card"/>
    <s v="Returned"/>
    <s v="TRK45098068"/>
    <n v="5"/>
    <s v="SAVE10"/>
    <x v="1"/>
    <n v="1989.05"/>
    <x v="1"/>
  </r>
  <r>
    <s v="ORD200804"/>
    <d v="2024-01-01T00:00:00"/>
    <s v="C76362"/>
    <s v="Chair"/>
    <x v="4"/>
    <n v="236.5"/>
    <s v="916 Main St"/>
    <s v="Online"/>
    <s v="Delivered"/>
    <s v="TRK11868618"/>
    <n v="8"/>
    <s v="FREESHIP"/>
    <x v="2"/>
    <n v="709.5"/>
    <x v="0"/>
  </r>
  <r>
    <s v="ORD200805"/>
    <d v="2024-10-15T00:00:00"/>
    <s v="C59278"/>
    <s v="Laptop"/>
    <x v="0"/>
    <n v="472.01"/>
    <s v="178 Main St"/>
    <s v="Gift Card"/>
    <s v="Cancelled"/>
    <s v="TRK14590037"/>
    <n v="10"/>
    <s v="SAVE10"/>
    <x v="2"/>
    <n v="2360.0500000000002"/>
    <x v="3"/>
  </r>
  <r>
    <s v="ORD200806"/>
    <d v="2023-09-01T00:00:00"/>
    <s v="C55819"/>
    <s v="Chair"/>
    <x v="0"/>
    <n v="253.75"/>
    <s v="740 Main St"/>
    <s v="Online"/>
    <s v="Pending"/>
    <s v="TRK13775054"/>
    <n v="9"/>
    <s v="WINTER15"/>
    <x v="0"/>
    <n v="1268.75"/>
    <x v="11"/>
  </r>
  <r>
    <s v="ORD200807"/>
    <d v="2024-11-10T00:00:00"/>
    <s v="C82344"/>
    <s v="Monitor"/>
    <x v="4"/>
    <n v="676.21"/>
    <s v="260 Main St"/>
    <s v="Online"/>
    <s v="Delivered"/>
    <s v="TRK70957219"/>
    <n v="5"/>
    <s v="SAVE10"/>
    <x v="4"/>
    <n v="2028.63"/>
    <x v="7"/>
  </r>
  <r>
    <s v="ORD200808"/>
    <d v="2024-02-13T00:00:00"/>
    <s v="C65565"/>
    <s v="Desk"/>
    <x v="4"/>
    <n v="134.05000000000001"/>
    <s v="192 Main St"/>
    <s v="Credit Card"/>
    <s v="Shipped"/>
    <s v="TRK80383756"/>
    <n v="3"/>
    <m/>
    <x v="4"/>
    <n v="402.15"/>
    <x v="2"/>
  </r>
  <r>
    <s v="ORD200809"/>
    <d v="2024-04-09T00:00:00"/>
    <s v="C80416"/>
    <s v="Desk"/>
    <x v="0"/>
    <n v="217.43"/>
    <s v="752 Main St"/>
    <s v="Debit Card"/>
    <s v="Shipped"/>
    <s v="TRK54385892"/>
    <n v="10"/>
    <s v="SAVE10"/>
    <x v="0"/>
    <n v="1087.1500000000001"/>
    <x v="6"/>
  </r>
  <r>
    <s v="ORD200810"/>
    <d v="2023-05-31T00:00:00"/>
    <s v="C23637"/>
    <s v="Tablet"/>
    <x v="2"/>
    <n v="553.55999999999995"/>
    <s v="644 Main St"/>
    <s v="Credit Card"/>
    <s v="Cancelled"/>
    <s v="TRK16749863"/>
    <n v="5"/>
    <m/>
    <x v="1"/>
    <n v="553.55999999999995"/>
    <x v="4"/>
  </r>
  <r>
    <s v="ORD200811"/>
    <d v="2023-11-05T00:00:00"/>
    <s v="C24769"/>
    <s v="Laptop"/>
    <x v="1"/>
    <n v="28.55"/>
    <s v="864 Main St"/>
    <s v="Gift Card"/>
    <s v="Shipped"/>
    <s v="TRK44538305"/>
    <n v="7"/>
    <s v="SAVE10"/>
    <x v="2"/>
    <n v="57.1"/>
    <x v="7"/>
  </r>
  <r>
    <s v="ORD200812"/>
    <d v="2024-01-26T00:00:00"/>
    <s v="C81547"/>
    <s v="Phone"/>
    <x v="1"/>
    <n v="255.26"/>
    <s v="803 Main St"/>
    <s v="Credit Card"/>
    <s v="Cancelled"/>
    <s v="TRK88437123"/>
    <n v="6"/>
    <s v="FREESHIP"/>
    <x v="4"/>
    <n v="510.52"/>
    <x v="0"/>
  </r>
  <r>
    <s v="ORD200813"/>
    <d v="2025-03-15T00:00:00"/>
    <s v="C12813"/>
    <s v="Laptop"/>
    <x v="0"/>
    <n v="292.54000000000002"/>
    <s v="263 Main St"/>
    <s v="Debit Card"/>
    <s v="Cancelled"/>
    <s v="TRK36131660"/>
    <n v="8"/>
    <s v="FREESHIP"/>
    <x v="2"/>
    <n v="1462.7"/>
    <x v="9"/>
  </r>
  <r>
    <s v="ORD200814"/>
    <d v="2024-12-11T00:00:00"/>
    <s v="C50732"/>
    <s v="Chair"/>
    <x v="3"/>
    <n v="147.51"/>
    <s v="979 Main St"/>
    <s v="Debit Card"/>
    <s v="Pending"/>
    <s v="TRK21082461"/>
    <n v="4"/>
    <s v="WINTER15"/>
    <x v="0"/>
    <n v="590.04"/>
    <x v="8"/>
  </r>
  <r>
    <s v="ORD200815"/>
    <d v="2024-08-04T00:00:00"/>
    <s v="C41320"/>
    <s v="Printer"/>
    <x v="4"/>
    <n v="569.84"/>
    <s v="920 Main St"/>
    <s v="Gift Card"/>
    <s v="Cancelled"/>
    <s v="TRK77539180"/>
    <n v="8"/>
    <s v="WINTER15"/>
    <x v="0"/>
    <n v="1709.52"/>
    <x v="1"/>
  </r>
  <r>
    <s v="ORD200816"/>
    <d v="2024-02-21T00:00:00"/>
    <s v="C55286"/>
    <s v="Tablet"/>
    <x v="0"/>
    <n v="574.79"/>
    <s v="497 Main St"/>
    <s v="Credit Card"/>
    <s v="Pending"/>
    <s v="TRK39058734"/>
    <n v="8"/>
    <s v="WINTER15"/>
    <x v="1"/>
    <n v="2873.95"/>
    <x v="2"/>
  </r>
  <r>
    <s v="ORD200817"/>
    <d v="2023-10-05T00:00:00"/>
    <s v="C87994"/>
    <s v="Chair"/>
    <x v="3"/>
    <n v="598.19000000000005"/>
    <s v="430 Main St"/>
    <s v="Credit Card"/>
    <s v="Delivered"/>
    <s v="TRK98883971"/>
    <n v="7"/>
    <s v="WINTER15"/>
    <x v="2"/>
    <n v="2392.7600000000002"/>
    <x v="3"/>
  </r>
  <r>
    <s v="ORD200818"/>
    <d v="2023-03-02T00:00:00"/>
    <s v="C25580"/>
    <s v="Phone"/>
    <x v="3"/>
    <n v="390.84"/>
    <s v="860 Main St"/>
    <s v="Credit Card"/>
    <s v="Cancelled"/>
    <s v="TRK58781638"/>
    <n v="9"/>
    <s v="WINTER15"/>
    <x v="1"/>
    <n v="1563.36"/>
    <x v="9"/>
  </r>
  <r>
    <s v="ORD200819"/>
    <d v="2024-09-28T00:00:00"/>
    <s v="C66196"/>
    <s v="Phone"/>
    <x v="1"/>
    <n v="398.45"/>
    <s v="650 Main St"/>
    <s v="Debit Card"/>
    <s v="Cancelled"/>
    <s v="TRK38104650"/>
    <n v="7"/>
    <s v="SAVE10"/>
    <x v="4"/>
    <n v="796.9"/>
    <x v="11"/>
  </r>
  <r>
    <s v="ORD200820"/>
    <d v="2023-05-27T00:00:00"/>
    <s v="C35377"/>
    <s v="Phone"/>
    <x v="0"/>
    <n v="623.80999999999995"/>
    <s v="171 Main St"/>
    <s v="Cash"/>
    <s v="Returned"/>
    <s v="TRK17342157"/>
    <n v="6"/>
    <s v="FREESHIP"/>
    <x v="2"/>
    <n v="3119.05"/>
    <x v="4"/>
  </r>
  <r>
    <s v="ORD200821"/>
    <d v="2024-12-14T00:00:00"/>
    <s v="C40771"/>
    <s v="Laptop"/>
    <x v="3"/>
    <n v="174.49"/>
    <s v="259 Main St"/>
    <s v="Credit Card"/>
    <s v="Delivered"/>
    <s v="TRK56310345"/>
    <n v="5"/>
    <s v="SAVE10"/>
    <x v="3"/>
    <n v="697.96"/>
    <x v="8"/>
  </r>
  <r>
    <s v="ORD200822"/>
    <d v="2025-03-15T00:00:00"/>
    <s v="C20624"/>
    <s v="Phone"/>
    <x v="2"/>
    <n v="479.56"/>
    <s v="923 Main St"/>
    <s v="Gift Card"/>
    <s v="Returned"/>
    <s v="TRK45123395"/>
    <n v="1"/>
    <s v="SAVE10"/>
    <x v="4"/>
    <n v="479.56"/>
    <x v="9"/>
  </r>
  <r>
    <s v="ORD200823"/>
    <d v="2024-10-07T00:00:00"/>
    <s v="C27070"/>
    <s v="Laptop"/>
    <x v="3"/>
    <n v="653.13"/>
    <s v="973 Main St"/>
    <s v="Credit Card"/>
    <s v="Shipped"/>
    <s v="TRK83842481"/>
    <n v="8"/>
    <s v="WINTER15"/>
    <x v="0"/>
    <n v="2612.52"/>
    <x v="3"/>
  </r>
  <r>
    <s v="ORD200824"/>
    <d v="2023-08-29T00:00:00"/>
    <s v="C18826"/>
    <s v="Monitor"/>
    <x v="4"/>
    <n v="481.1"/>
    <s v="664 Main St"/>
    <s v="Credit Card"/>
    <s v="Returned"/>
    <s v="TRK12530495"/>
    <n v="3"/>
    <s v="FREESHIP"/>
    <x v="3"/>
    <n v="1443.3"/>
    <x v="1"/>
  </r>
  <r>
    <s v="ORD200825"/>
    <d v="2025-03-26T00:00:00"/>
    <s v="C23899"/>
    <s v="Desk"/>
    <x v="0"/>
    <n v="271.69"/>
    <s v="543 Main St"/>
    <s v="Online"/>
    <s v="Returned"/>
    <s v="TRK88914760"/>
    <n v="7"/>
    <s v="FREESHIP"/>
    <x v="0"/>
    <n v="1358.45"/>
    <x v="9"/>
  </r>
  <r>
    <s v="ORD200826"/>
    <d v="2025-03-08T00:00:00"/>
    <s v="C43249"/>
    <s v="Printer"/>
    <x v="4"/>
    <n v="463.81"/>
    <s v="283 Main St"/>
    <s v="Online"/>
    <s v="Returned"/>
    <s v="TRK32469820"/>
    <n v="8"/>
    <s v="WINTER15"/>
    <x v="2"/>
    <n v="1391.43"/>
    <x v="9"/>
  </r>
  <r>
    <s v="ORD200827"/>
    <d v="2023-05-25T00:00:00"/>
    <s v="C95856"/>
    <s v="Tablet"/>
    <x v="1"/>
    <n v="639.88"/>
    <s v="432 Main St"/>
    <s v="Cash"/>
    <s v="Delivered"/>
    <s v="TRK58829625"/>
    <n v="5"/>
    <s v="WINTER15"/>
    <x v="0"/>
    <n v="1279.76"/>
    <x v="4"/>
  </r>
  <r>
    <s v="ORD200828"/>
    <d v="2024-07-24T00:00:00"/>
    <s v="C86266"/>
    <s v="Chair"/>
    <x v="3"/>
    <n v="404.58"/>
    <s v="510 Main St"/>
    <s v="Cash"/>
    <s v="Shipped"/>
    <s v="TRK64576020"/>
    <n v="5"/>
    <s v="FREESHIP"/>
    <x v="0"/>
    <n v="1618.32"/>
    <x v="10"/>
  </r>
  <r>
    <s v="ORD200829"/>
    <d v="2023-02-05T00:00:00"/>
    <s v="C39551"/>
    <s v="Monitor"/>
    <x v="2"/>
    <n v="76.930000000000007"/>
    <s v="685 Main St"/>
    <s v="Debit Card"/>
    <s v="Delivered"/>
    <s v="TRK68358007"/>
    <n v="6"/>
    <s v="WINTER15"/>
    <x v="0"/>
    <n v="76.930000000000007"/>
    <x v="2"/>
  </r>
  <r>
    <s v="ORD200830"/>
    <d v="2024-12-11T00:00:00"/>
    <s v="C90310"/>
    <s v="Tablet"/>
    <x v="3"/>
    <n v="190.64"/>
    <s v="853 Main St"/>
    <s v="Cash"/>
    <s v="Delivered"/>
    <s v="TRK70028457"/>
    <n v="5"/>
    <s v="SAVE10"/>
    <x v="2"/>
    <n v="762.56"/>
    <x v="8"/>
  </r>
  <r>
    <s v="ORD200831"/>
    <d v="2023-12-18T00:00:00"/>
    <s v="C20124"/>
    <s v="Printer"/>
    <x v="1"/>
    <n v="88.73"/>
    <s v="140 Main St"/>
    <s v="Online"/>
    <s v="Pending"/>
    <s v="TRK61346824"/>
    <n v="5"/>
    <m/>
    <x v="4"/>
    <n v="177.46"/>
    <x v="8"/>
  </r>
  <r>
    <s v="ORD200832"/>
    <d v="2024-03-12T00:00:00"/>
    <s v="C63372"/>
    <s v="Chair"/>
    <x v="0"/>
    <n v="485.71"/>
    <s v="903 Main St"/>
    <s v="Online"/>
    <s v="Pending"/>
    <s v="TRK14661811"/>
    <n v="10"/>
    <s v="SAVE10"/>
    <x v="1"/>
    <n v="2428.5500000000002"/>
    <x v="9"/>
  </r>
  <r>
    <s v="ORD200833"/>
    <d v="2025-03-14T00:00:00"/>
    <s v="C90595"/>
    <s v="Phone"/>
    <x v="0"/>
    <n v="78.290000000000006"/>
    <s v="508 Main St"/>
    <s v="Credit Card"/>
    <s v="Shipped"/>
    <s v="TRK96573803"/>
    <n v="5"/>
    <s v="WINTER15"/>
    <x v="1"/>
    <n v="391.45"/>
    <x v="9"/>
  </r>
  <r>
    <s v="ORD200834"/>
    <d v="2024-04-11T00:00:00"/>
    <s v="C98483"/>
    <s v="Printer"/>
    <x v="0"/>
    <n v="22.14"/>
    <s v="456 Main St"/>
    <s v="Cash"/>
    <s v="Returned"/>
    <s v="TRK22084320"/>
    <n v="10"/>
    <m/>
    <x v="0"/>
    <n v="110.7"/>
    <x v="6"/>
  </r>
  <r>
    <s v="ORD200835"/>
    <d v="2024-03-26T00:00:00"/>
    <s v="C16429"/>
    <s v="Desk"/>
    <x v="2"/>
    <n v="679.65"/>
    <s v="390 Main St"/>
    <s v="Debit Card"/>
    <s v="Shipped"/>
    <s v="TRK73888013"/>
    <n v="6"/>
    <s v="FREESHIP"/>
    <x v="4"/>
    <n v="679.65"/>
    <x v="9"/>
  </r>
  <r>
    <s v="ORD200836"/>
    <d v="2023-02-02T00:00:00"/>
    <s v="C31810"/>
    <s v="Phone"/>
    <x v="2"/>
    <n v="178.44"/>
    <s v="328 Main St"/>
    <s v="Credit Card"/>
    <s v="Cancelled"/>
    <s v="TRK58725886"/>
    <n v="2"/>
    <s v="FREESHIP"/>
    <x v="4"/>
    <n v="178.44"/>
    <x v="2"/>
  </r>
  <r>
    <s v="ORD200837"/>
    <d v="2025-06-14T00:00:00"/>
    <s v="C88029"/>
    <s v="Chair"/>
    <x v="0"/>
    <n v="655.55"/>
    <s v="282 Main St"/>
    <s v="Online"/>
    <s v="Delivered"/>
    <s v="TRK59701278"/>
    <n v="5"/>
    <m/>
    <x v="2"/>
    <n v="3277.75"/>
    <x v="5"/>
  </r>
  <r>
    <s v="ORD200838"/>
    <d v="2024-04-11T00:00:00"/>
    <s v="C57798"/>
    <s v="Desk"/>
    <x v="3"/>
    <n v="577.08000000000004"/>
    <s v="384 Main St"/>
    <s v="Online"/>
    <s v="Pending"/>
    <s v="TRK68797566"/>
    <n v="8"/>
    <m/>
    <x v="3"/>
    <n v="2308.3200000000002"/>
    <x v="6"/>
  </r>
  <r>
    <s v="ORD200839"/>
    <d v="2023-08-24T00:00:00"/>
    <s v="C82858"/>
    <s v="Chair"/>
    <x v="4"/>
    <n v="197.97"/>
    <s v="551 Main St"/>
    <s v="Online"/>
    <s v="Cancelled"/>
    <s v="TRK90618490"/>
    <n v="5"/>
    <m/>
    <x v="4"/>
    <n v="593.91"/>
    <x v="1"/>
  </r>
  <r>
    <s v="ORD200840"/>
    <d v="2024-01-14T00:00:00"/>
    <s v="C60699"/>
    <s v="Chair"/>
    <x v="4"/>
    <n v="411.95"/>
    <s v="672 Main St"/>
    <s v="Credit Card"/>
    <s v="Delivered"/>
    <s v="TRK88660574"/>
    <n v="7"/>
    <s v="FREESHIP"/>
    <x v="1"/>
    <n v="1235.8499999999999"/>
    <x v="0"/>
  </r>
  <r>
    <s v="ORD200841"/>
    <d v="2024-09-19T00:00:00"/>
    <s v="C94658"/>
    <s v="Printer"/>
    <x v="1"/>
    <n v="443.22"/>
    <s v="742 Main St"/>
    <s v="Credit Card"/>
    <s v="Delivered"/>
    <s v="TRK51732528"/>
    <n v="5"/>
    <m/>
    <x v="3"/>
    <n v="886.44"/>
    <x v="11"/>
  </r>
  <r>
    <s v="ORD200842"/>
    <d v="2025-05-07T00:00:00"/>
    <s v="C78305"/>
    <s v="Laptop"/>
    <x v="4"/>
    <n v="364.14"/>
    <s v="396 Main St"/>
    <s v="Online"/>
    <s v="Pending"/>
    <s v="TRK88312618"/>
    <n v="7"/>
    <s v="WINTER15"/>
    <x v="1"/>
    <n v="1092.42"/>
    <x v="4"/>
  </r>
  <r>
    <s v="ORD200843"/>
    <d v="2025-05-13T00:00:00"/>
    <s v="C43538"/>
    <s v="Desk"/>
    <x v="4"/>
    <n v="430.06"/>
    <s v="534 Main St"/>
    <s v="Gift Card"/>
    <s v="Cancelled"/>
    <s v="TRK20961563"/>
    <n v="8"/>
    <s v="FREESHIP"/>
    <x v="0"/>
    <n v="1290.18"/>
    <x v="4"/>
  </r>
  <r>
    <s v="ORD200844"/>
    <d v="2024-12-04T00:00:00"/>
    <s v="C47486"/>
    <s v="Chair"/>
    <x v="2"/>
    <n v="320.92"/>
    <s v="883 Main St"/>
    <s v="Online"/>
    <s v="Returned"/>
    <s v="TRK75984759"/>
    <n v="5"/>
    <s v="FREESHIP"/>
    <x v="3"/>
    <n v="320.92"/>
    <x v="8"/>
  </r>
  <r>
    <s v="ORD200845"/>
    <d v="2023-10-08T00:00:00"/>
    <s v="C24212"/>
    <s v="Phone"/>
    <x v="4"/>
    <n v="107.36"/>
    <s v="808 Main St"/>
    <s v="Gift Card"/>
    <s v="Delivered"/>
    <s v="TRK68894675"/>
    <n v="5"/>
    <s v="FREESHIP"/>
    <x v="4"/>
    <n v="322.08"/>
    <x v="3"/>
  </r>
  <r>
    <s v="ORD200846"/>
    <d v="2024-07-04T00:00:00"/>
    <s v="C24765"/>
    <s v="Desk"/>
    <x v="1"/>
    <n v="359.86"/>
    <s v="646 Main St"/>
    <s v="Debit Card"/>
    <s v="Cancelled"/>
    <s v="TRK43977698"/>
    <n v="4"/>
    <m/>
    <x v="1"/>
    <n v="719.72"/>
    <x v="10"/>
  </r>
  <r>
    <s v="ORD200847"/>
    <d v="2024-11-18T00:00:00"/>
    <s v="C48176"/>
    <s v="Printer"/>
    <x v="3"/>
    <n v="434.23"/>
    <s v="670 Main St"/>
    <s v="Online"/>
    <s v="Shipped"/>
    <s v="TRK90560300"/>
    <n v="8"/>
    <s v="FREESHIP"/>
    <x v="2"/>
    <n v="1736.92"/>
    <x v="7"/>
  </r>
  <r>
    <s v="ORD200848"/>
    <d v="2023-01-01T00:00:00"/>
    <s v="C54675"/>
    <s v="Chair"/>
    <x v="1"/>
    <n v="645.85"/>
    <s v="634 Main St"/>
    <s v="Online"/>
    <s v="Shipped"/>
    <s v="TRK18049633"/>
    <n v="5"/>
    <m/>
    <x v="1"/>
    <n v="1291.7"/>
    <x v="0"/>
  </r>
  <r>
    <s v="ORD200849"/>
    <d v="2025-06-09T00:00:00"/>
    <s v="C16675"/>
    <s v="Printer"/>
    <x v="3"/>
    <n v="214.35"/>
    <s v="664 Main St"/>
    <s v="Debit Card"/>
    <s v="Cancelled"/>
    <s v="TRK12756945"/>
    <n v="7"/>
    <s v="WINTER15"/>
    <x v="1"/>
    <n v="857.4"/>
    <x v="5"/>
  </r>
  <r>
    <s v="ORD200850"/>
    <d v="2025-04-27T00:00:00"/>
    <s v="C38557"/>
    <s v="Monitor"/>
    <x v="4"/>
    <n v="638.5"/>
    <s v="890 Main St"/>
    <s v="Debit Card"/>
    <s v="Cancelled"/>
    <s v="TRK14832238"/>
    <n v="4"/>
    <s v="FREESHIP"/>
    <x v="0"/>
    <n v="1915.5"/>
    <x v="6"/>
  </r>
  <r>
    <s v="ORD200851"/>
    <d v="2023-12-12T00:00:00"/>
    <s v="C80183"/>
    <s v="Laptop"/>
    <x v="2"/>
    <n v="365.57"/>
    <s v="146 Main St"/>
    <s v="Online"/>
    <s v="Cancelled"/>
    <s v="TRK20814598"/>
    <n v="5"/>
    <s v="SAVE10"/>
    <x v="2"/>
    <n v="365.57"/>
    <x v="8"/>
  </r>
  <r>
    <s v="ORD200852"/>
    <d v="2024-10-24T00:00:00"/>
    <s v="C39530"/>
    <s v="Desk"/>
    <x v="4"/>
    <n v="568.04999999999995"/>
    <s v="618 Main St"/>
    <s v="Gift Card"/>
    <s v="Pending"/>
    <s v="TRK69000497"/>
    <n v="6"/>
    <s v="SAVE10"/>
    <x v="4"/>
    <n v="1704.15"/>
    <x v="3"/>
  </r>
  <r>
    <s v="ORD200853"/>
    <d v="2023-10-16T00:00:00"/>
    <s v="C10002"/>
    <s v="Printer"/>
    <x v="4"/>
    <n v="490.01"/>
    <s v="894 Main St"/>
    <s v="Cash"/>
    <s v="Returned"/>
    <s v="TRK94641152"/>
    <n v="4"/>
    <s v="SAVE10"/>
    <x v="3"/>
    <n v="1470.03"/>
    <x v="3"/>
  </r>
  <r>
    <s v="ORD200854"/>
    <d v="2025-06-13T00:00:00"/>
    <s v="C56938"/>
    <s v="Laptop"/>
    <x v="4"/>
    <n v="372.6"/>
    <s v="356 Main St"/>
    <s v="Credit Card"/>
    <s v="Delivered"/>
    <s v="TRK67735987"/>
    <n v="7"/>
    <s v="WINTER15"/>
    <x v="1"/>
    <n v="1117.8"/>
    <x v="5"/>
  </r>
  <r>
    <s v="ORD200855"/>
    <d v="2023-05-25T00:00:00"/>
    <s v="C41331"/>
    <s v="Monitor"/>
    <x v="0"/>
    <n v="240.61"/>
    <s v="785 Main St"/>
    <s v="Credit Card"/>
    <s v="Shipped"/>
    <s v="TRK94198179"/>
    <n v="10"/>
    <s v="FREESHIP"/>
    <x v="2"/>
    <n v="1203.05"/>
    <x v="4"/>
  </r>
  <r>
    <s v="ORD200856"/>
    <d v="2024-06-03T00:00:00"/>
    <s v="C94698"/>
    <s v="Phone"/>
    <x v="2"/>
    <n v="586.62"/>
    <s v="871 Main St"/>
    <s v="Debit Card"/>
    <s v="Shipped"/>
    <s v="TRK95768773"/>
    <n v="5"/>
    <m/>
    <x v="3"/>
    <n v="586.62"/>
    <x v="5"/>
  </r>
  <r>
    <s v="ORD200857"/>
    <d v="2024-03-10T00:00:00"/>
    <s v="C56506"/>
    <s v="Phone"/>
    <x v="4"/>
    <n v="257.83999999999997"/>
    <s v="185 Main St"/>
    <s v="Online"/>
    <s v="Delivered"/>
    <s v="TRK86808324"/>
    <n v="4"/>
    <m/>
    <x v="0"/>
    <n v="773.52"/>
    <x v="9"/>
  </r>
  <r>
    <s v="ORD200858"/>
    <d v="2023-08-20T00:00:00"/>
    <s v="C22167"/>
    <s v="Tablet"/>
    <x v="0"/>
    <n v="435.66"/>
    <s v="891 Main St"/>
    <s v="Online"/>
    <s v="Pending"/>
    <s v="TRK70269748"/>
    <n v="9"/>
    <m/>
    <x v="3"/>
    <n v="2178.3000000000002"/>
    <x v="1"/>
  </r>
  <r>
    <s v="ORD200859"/>
    <d v="2024-08-28T00:00:00"/>
    <s v="C11127"/>
    <s v="Chair"/>
    <x v="0"/>
    <n v="261.33"/>
    <s v="154 Main St"/>
    <s v="Credit Card"/>
    <s v="Returned"/>
    <s v="TRK73285507"/>
    <n v="5"/>
    <s v="SAVE10"/>
    <x v="1"/>
    <n v="1306.6500000000001"/>
    <x v="1"/>
  </r>
  <r>
    <s v="ORD200860"/>
    <d v="2024-01-23T00:00:00"/>
    <s v="C69542"/>
    <s v="Printer"/>
    <x v="2"/>
    <n v="422.54"/>
    <s v="876 Main St"/>
    <s v="Cash"/>
    <s v="Delivered"/>
    <s v="TRK20746505"/>
    <n v="1"/>
    <s v="SAVE10"/>
    <x v="4"/>
    <n v="422.54"/>
    <x v="0"/>
  </r>
  <r>
    <s v="ORD200861"/>
    <d v="2023-03-19T00:00:00"/>
    <s v="C93276"/>
    <s v="Desk"/>
    <x v="0"/>
    <n v="330.45"/>
    <s v="230 Main St"/>
    <s v="Gift Card"/>
    <s v="Shipped"/>
    <s v="TRK44165913"/>
    <n v="10"/>
    <s v="FREESHIP"/>
    <x v="4"/>
    <n v="1652.25"/>
    <x v="9"/>
  </r>
  <r>
    <s v="ORD200862"/>
    <d v="2023-12-02T00:00:00"/>
    <s v="C37969"/>
    <s v="Desk"/>
    <x v="4"/>
    <n v="120.82"/>
    <s v="799 Main St"/>
    <s v="Credit Card"/>
    <s v="Shipped"/>
    <s v="TRK69852386"/>
    <n v="5"/>
    <s v="SAVE10"/>
    <x v="1"/>
    <n v="362.46"/>
    <x v="8"/>
  </r>
  <r>
    <s v="ORD200863"/>
    <d v="2024-05-20T00:00:00"/>
    <s v="C98276"/>
    <s v="Phone"/>
    <x v="2"/>
    <n v="14.06"/>
    <s v="471 Main St"/>
    <s v="Credit Card"/>
    <s v="Pending"/>
    <s v="TRK74207282"/>
    <n v="5"/>
    <s v="SAVE10"/>
    <x v="1"/>
    <n v="14.06"/>
    <x v="4"/>
  </r>
  <r>
    <s v="ORD200864"/>
    <d v="2023-05-03T00:00:00"/>
    <s v="C14240"/>
    <s v="Desk"/>
    <x v="2"/>
    <n v="491.11"/>
    <s v="592 Main St"/>
    <s v="Credit Card"/>
    <s v="Delivered"/>
    <s v="TRK58095246"/>
    <n v="4"/>
    <s v="SAVE10"/>
    <x v="3"/>
    <n v="491.11"/>
    <x v="4"/>
  </r>
  <r>
    <s v="ORD200865"/>
    <d v="2023-04-30T00:00:00"/>
    <s v="C72241"/>
    <s v="Monitor"/>
    <x v="3"/>
    <n v="677.37"/>
    <s v="156 Main St"/>
    <s v="Cash"/>
    <s v="Pending"/>
    <s v="TRK76270481"/>
    <n v="8"/>
    <s v="SAVE10"/>
    <x v="4"/>
    <n v="2709.48"/>
    <x v="6"/>
  </r>
  <r>
    <s v="ORD200866"/>
    <d v="2024-07-26T00:00:00"/>
    <s v="C39664"/>
    <s v="Desk"/>
    <x v="0"/>
    <n v="189.25"/>
    <s v="693 Main St"/>
    <s v="Debit Card"/>
    <s v="Cancelled"/>
    <s v="TRK39917741"/>
    <n v="10"/>
    <s v="WINTER15"/>
    <x v="2"/>
    <n v="946.25"/>
    <x v="10"/>
  </r>
  <r>
    <s v="ORD200867"/>
    <d v="2024-05-26T00:00:00"/>
    <s v="C53252"/>
    <s v="Printer"/>
    <x v="3"/>
    <n v="142.58000000000001"/>
    <s v="351 Main St"/>
    <s v="Cash"/>
    <s v="Delivered"/>
    <s v="TRK65831261"/>
    <n v="4"/>
    <s v="FREESHIP"/>
    <x v="3"/>
    <n v="570.32000000000005"/>
    <x v="4"/>
  </r>
  <r>
    <s v="ORD200868"/>
    <d v="2024-06-29T00:00:00"/>
    <s v="C70452"/>
    <s v="Monitor"/>
    <x v="3"/>
    <n v="316.32"/>
    <s v="309 Main St"/>
    <s v="Debit Card"/>
    <s v="Delivered"/>
    <s v="TRK42985882"/>
    <n v="7"/>
    <m/>
    <x v="3"/>
    <n v="1265.28"/>
    <x v="5"/>
  </r>
  <r>
    <s v="ORD200869"/>
    <d v="2024-03-17T00:00:00"/>
    <s v="C29905"/>
    <s v="Desk"/>
    <x v="1"/>
    <n v="533.95000000000005"/>
    <s v="790 Main St"/>
    <s v="Online"/>
    <s v="Delivered"/>
    <s v="TRK16788127"/>
    <n v="5"/>
    <s v="WINTER15"/>
    <x v="4"/>
    <n v="1067.9000000000001"/>
    <x v="9"/>
  </r>
  <r>
    <s v="ORD200870"/>
    <d v="2025-06-01T00:00:00"/>
    <s v="C78725"/>
    <s v="Phone"/>
    <x v="3"/>
    <n v="470.09"/>
    <s v="541 Main St"/>
    <s v="Debit Card"/>
    <s v="Delivered"/>
    <s v="TRK72001139"/>
    <n v="4"/>
    <s v="FREESHIP"/>
    <x v="4"/>
    <n v="1880.36"/>
    <x v="5"/>
  </r>
  <r>
    <s v="ORD200871"/>
    <d v="2024-05-16T00:00:00"/>
    <s v="C93768"/>
    <s v="Tablet"/>
    <x v="4"/>
    <n v="324.3"/>
    <s v="720 Main St"/>
    <s v="Debit Card"/>
    <s v="Pending"/>
    <s v="TRK22024707"/>
    <n v="8"/>
    <s v="FREESHIP"/>
    <x v="2"/>
    <n v="972.90000000000009"/>
    <x v="4"/>
  </r>
  <r>
    <s v="ORD200872"/>
    <d v="2023-07-10T00:00:00"/>
    <s v="C59169"/>
    <s v="Chair"/>
    <x v="3"/>
    <n v="629.34"/>
    <s v="172 Main St"/>
    <s v="Cash"/>
    <s v="Shipped"/>
    <s v="TRK90883858"/>
    <n v="7"/>
    <m/>
    <x v="2"/>
    <n v="2517.36"/>
    <x v="10"/>
  </r>
  <r>
    <s v="ORD200873"/>
    <d v="2024-05-12T00:00:00"/>
    <s v="C53488"/>
    <s v="Desk"/>
    <x v="4"/>
    <n v="136.84"/>
    <s v="448 Main St"/>
    <s v="Cash"/>
    <s v="Delivered"/>
    <s v="TRK27365050"/>
    <n v="3"/>
    <s v="SAVE10"/>
    <x v="3"/>
    <n v="410.52"/>
    <x v="4"/>
  </r>
  <r>
    <s v="ORD200874"/>
    <d v="2023-10-31T00:00:00"/>
    <s v="C92180"/>
    <s v="Chair"/>
    <x v="1"/>
    <n v="488.9"/>
    <s v="632 Main St"/>
    <s v="Cash"/>
    <s v="Delivered"/>
    <s v="TRK93315929"/>
    <n v="7"/>
    <s v="FREESHIP"/>
    <x v="3"/>
    <n v="977.8"/>
    <x v="3"/>
  </r>
  <r>
    <s v="ORD200875"/>
    <d v="2023-08-03T00:00:00"/>
    <s v="C25918"/>
    <s v="Laptop"/>
    <x v="0"/>
    <n v="133.38999999999999"/>
    <s v="203 Main St"/>
    <s v="Credit Card"/>
    <s v="Delivered"/>
    <s v="TRK66473392"/>
    <n v="6"/>
    <s v="FREESHIP"/>
    <x v="1"/>
    <n v="666.94999999999993"/>
    <x v="1"/>
  </r>
  <r>
    <s v="ORD200876"/>
    <d v="2024-06-09T00:00:00"/>
    <s v="C90363"/>
    <s v="Chair"/>
    <x v="0"/>
    <n v="608.91"/>
    <s v="200 Main St"/>
    <s v="Gift Card"/>
    <s v="Pending"/>
    <s v="TRK21534173"/>
    <n v="6"/>
    <s v="SAVE10"/>
    <x v="4"/>
    <n v="3044.55"/>
    <x v="5"/>
  </r>
  <r>
    <s v="ORD200877"/>
    <d v="2024-07-25T00:00:00"/>
    <s v="C43867"/>
    <s v="Tablet"/>
    <x v="2"/>
    <n v="524.05999999999995"/>
    <s v="269 Main St"/>
    <s v="Debit Card"/>
    <s v="Pending"/>
    <s v="TRK97319127"/>
    <n v="3"/>
    <s v="FREESHIP"/>
    <x v="2"/>
    <n v="524.05999999999995"/>
    <x v="10"/>
  </r>
  <r>
    <s v="ORD200878"/>
    <d v="2023-06-01T00:00:00"/>
    <s v="C73873"/>
    <s v="Desk"/>
    <x v="1"/>
    <n v="330.69"/>
    <s v="393 Main St"/>
    <s v="Online"/>
    <s v="Cancelled"/>
    <s v="TRK56423132"/>
    <n v="5"/>
    <s v="SAVE10"/>
    <x v="4"/>
    <n v="661.38"/>
    <x v="5"/>
  </r>
  <r>
    <s v="ORD200879"/>
    <d v="2025-04-08T00:00:00"/>
    <s v="C56622"/>
    <s v="Phone"/>
    <x v="1"/>
    <n v="547.66999999999996"/>
    <s v="932 Main St"/>
    <s v="Gift Card"/>
    <s v="Shipped"/>
    <s v="TRK86373987"/>
    <n v="3"/>
    <m/>
    <x v="0"/>
    <n v="1095.3399999999999"/>
    <x v="6"/>
  </r>
  <r>
    <s v="ORD200880"/>
    <d v="2025-03-12T00:00:00"/>
    <s v="C85074"/>
    <s v="Laptop"/>
    <x v="3"/>
    <n v="233.7"/>
    <s v="506 Main St"/>
    <s v="Online"/>
    <s v="Shipped"/>
    <s v="TRK63133878"/>
    <n v="8"/>
    <s v="SAVE10"/>
    <x v="3"/>
    <n v="934.8"/>
    <x v="9"/>
  </r>
  <r>
    <s v="ORD200881"/>
    <d v="2023-01-03T00:00:00"/>
    <s v="C59579"/>
    <s v="Tablet"/>
    <x v="1"/>
    <n v="448.85"/>
    <s v="386 Main St"/>
    <s v="Credit Card"/>
    <s v="Pending"/>
    <s v="TRK48000034"/>
    <n v="6"/>
    <m/>
    <x v="0"/>
    <n v="897.7"/>
    <x v="0"/>
  </r>
  <r>
    <s v="ORD200882"/>
    <d v="2025-06-28T00:00:00"/>
    <s v="C43335"/>
    <s v="Phone"/>
    <x v="1"/>
    <n v="274.12"/>
    <s v="533 Main St"/>
    <s v="Cash"/>
    <s v="Delivered"/>
    <s v="TRK91848650"/>
    <n v="6"/>
    <s v="FREESHIP"/>
    <x v="1"/>
    <n v="548.24"/>
    <x v="5"/>
  </r>
  <r>
    <s v="ORD200883"/>
    <d v="2025-05-13T00:00:00"/>
    <s v="C43595"/>
    <s v="Printer"/>
    <x v="0"/>
    <n v="561.48"/>
    <s v="451 Main St"/>
    <s v="Online"/>
    <s v="Delivered"/>
    <s v="TRK25317348"/>
    <n v="9"/>
    <s v="FREESHIP"/>
    <x v="3"/>
    <n v="2807.4"/>
    <x v="4"/>
  </r>
  <r>
    <s v="ORD200884"/>
    <d v="2024-05-15T00:00:00"/>
    <s v="C71471"/>
    <s v="Chair"/>
    <x v="2"/>
    <n v="595.54"/>
    <s v="817 Main St"/>
    <s v="Gift Card"/>
    <s v="Shipped"/>
    <s v="TRK52137079"/>
    <n v="4"/>
    <m/>
    <x v="0"/>
    <n v="595.54"/>
    <x v="4"/>
  </r>
  <r>
    <s v="ORD200885"/>
    <d v="2024-04-07T00:00:00"/>
    <s v="C61090"/>
    <s v="Laptop"/>
    <x v="3"/>
    <n v="515.59"/>
    <s v="387 Main St"/>
    <s v="Credit Card"/>
    <s v="Shipped"/>
    <s v="TRK36388962"/>
    <n v="7"/>
    <s v="FREESHIP"/>
    <x v="4"/>
    <n v="2062.36"/>
    <x v="6"/>
  </r>
  <r>
    <s v="ORD200886"/>
    <d v="2023-10-25T00:00:00"/>
    <s v="C29620"/>
    <s v="Phone"/>
    <x v="2"/>
    <n v="460.13"/>
    <s v="792 Main St"/>
    <s v="Credit Card"/>
    <s v="Returned"/>
    <s v="TRK22046456"/>
    <n v="1"/>
    <m/>
    <x v="4"/>
    <n v="460.13"/>
    <x v="3"/>
  </r>
  <r>
    <s v="ORD200887"/>
    <d v="2024-12-19T00:00:00"/>
    <s v="C67932"/>
    <s v="Chair"/>
    <x v="4"/>
    <n v="171.66"/>
    <s v="857 Main St"/>
    <s v="Debit Card"/>
    <s v="Delivered"/>
    <s v="TRK88547534"/>
    <n v="7"/>
    <m/>
    <x v="4"/>
    <n v="514.98"/>
    <x v="8"/>
  </r>
  <r>
    <s v="ORD200888"/>
    <d v="2024-07-23T00:00:00"/>
    <s v="C14427"/>
    <s v="Laptop"/>
    <x v="1"/>
    <n v="266.95"/>
    <s v="833 Main St"/>
    <s v="Credit Card"/>
    <s v="Pending"/>
    <s v="TRK58024529"/>
    <n v="3"/>
    <m/>
    <x v="0"/>
    <n v="533.9"/>
    <x v="10"/>
  </r>
  <r>
    <s v="ORD200889"/>
    <d v="2024-10-27T00:00:00"/>
    <s v="C36725"/>
    <s v="Monitor"/>
    <x v="0"/>
    <n v="650.72"/>
    <s v="350 Main St"/>
    <s v="Credit Card"/>
    <s v="Cancelled"/>
    <s v="TRK16808790"/>
    <n v="8"/>
    <s v="WINTER15"/>
    <x v="2"/>
    <n v="3253.6"/>
    <x v="3"/>
  </r>
  <r>
    <s v="ORD200890"/>
    <d v="2023-08-11T00:00:00"/>
    <s v="C51921"/>
    <s v="Laptop"/>
    <x v="4"/>
    <n v="439.53"/>
    <s v="943 Main St"/>
    <s v="Debit Card"/>
    <s v="Pending"/>
    <s v="TRK85741716"/>
    <n v="5"/>
    <m/>
    <x v="4"/>
    <n v="1318.59"/>
    <x v="1"/>
  </r>
  <r>
    <s v="ORD200891"/>
    <d v="2023-11-11T00:00:00"/>
    <s v="C36534"/>
    <s v="Monitor"/>
    <x v="4"/>
    <n v="654.54"/>
    <s v="918 Main St"/>
    <s v="Cash"/>
    <s v="Returned"/>
    <s v="TRK38952138"/>
    <n v="7"/>
    <s v="SAVE10"/>
    <x v="1"/>
    <n v="1963.62"/>
    <x v="7"/>
  </r>
  <r>
    <s v="ORD200892"/>
    <d v="2024-06-04T00:00:00"/>
    <s v="C72043"/>
    <s v="Desk"/>
    <x v="2"/>
    <n v="394.53"/>
    <s v="480 Main St"/>
    <s v="Cash"/>
    <s v="Shipped"/>
    <s v="TRK40896408"/>
    <n v="2"/>
    <s v="FREESHIP"/>
    <x v="1"/>
    <n v="394.53"/>
    <x v="5"/>
  </r>
  <r>
    <s v="ORD200893"/>
    <d v="2023-03-21T00:00:00"/>
    <s v="C99533"/>
    <s v="Monitor"/>
    <x v="2"/>
    <n v="678.01"/>
    <s v="696 Main St"/>
    <s v="Cash"/>
    <s v="Pending"/>
    <s v="TRK55701253"/>
    <n v="4"/>
    <s v="FREESHIP"/>
    <x v="1"/>
    <n v="678.01"/>
    <x v="9"/>
  </r>
  <r>
    <s v="ORD200894"/>
    <d v="2023-05-23T00:00:00"/>
    <s v="C90852"/>
    <s v="Tablet"/>
    <x v="4"/>
    <n v="575.01"/>
    <s v="852 Main St"/>
    <s v="Online"/>
    <s v="Cancelled"/>
    <s v="TRK37551831"/>
    <n v="8"/>
    <s v="WINTER15"/>
    <x v="0"/>
    <n v="1725.03"/>
    <x v="4"/>
  </r>
  <r>
    <s v="ORD200895"/>
    <d v="2023-11-09T00:00:00"/>
    <s v="C81882"/>
    <s v="Chair"/>
    <x v="4"/>
    <n v="154.63999999999999"/>
    <s v="832 Main St"/>
    <s v="Debit Card"/>
    <s v="Pending"/>
    <s v="TRK62371264"/>
    <n v="6"/>
    <s v="WINTER15"/>
    <x v="3"/>
    <n v="463.92"/>
    <x v="7"/>
  </r>
  <r>
    <s v="ORD200896"/>
    <d v="2024-10-18T00:00:00"/>
    <s v="C85466"/>
    <s v="Desk"/>
    <x v="4"/>
    <n v="147.29"/>
    <s v="102 Main St"/>
    <s v="Gift Card"/>
    <s v="Shipped"/>
    <s v="TRK66764177"/>
    <n v="3"/>
    <s v="FREESHIP"/>
    <x v="4"/>
    <n v="441.87"/>
    <x v="3"/>
  </r>
  <r>
    <s v="ORD200897"/>
    <d v="2024-09-03T00:00:00"/>
    <s v="C87995"/>
    <s v="Laptop"/>
    <x v="3"/>
    <n v="481.48"/>
    <s v="358 Main St"/>
    <s v="Gift Card"/>
    <s v="Delivered"/>
    <s v="TRK38730545"/>
    <n v="5"/>
    <s v="SAVE10"/>
    <x v="0"/>
    <n v="1925.92"/>
    <x v="11"/>
  </r>
  <r>
    <s v="ORD200898"/>
    <d v="2025-03-05T00:00:00"/>
    <s v="C44619"/>
    <s v="Monitor"/>
    <x v="4"/>
    <n v="158.37"/>
    <s v="742 Main St"/>
    <s v="Cash"/>
    <s v="Shipped"/>
    <s v="TRK66662528"/>
    <n v="6"/>
    <m/>
    <x v="1"/>
    <n v="475.11"/>
    <x v="9"/>
  </r>
  <r>
    <s v="ORD200899"/>
    <d v="2025-04-23T00:00:00"/>
    <s v="C99904"/>
    <s v="Printer"/>
    <x v="1"/>
    <n v="323.37"/>
    <s v="552 Main St"/>
    <s v="Online"/>
    <s v="Pending"/>
    <s v="TRK83843411"/>
    <n v="3"/>
    <s v="SAVE10"/>
    <x v="0"/>
    <n v="646.74"/>
    <x v="6"/>
  </r>
  <r>
    <s v="ORD200900"/>
    <d v="2025-02-07T00:00:00"/>
    <s v="C52342"/>
    <s v="Laptop"/>
    <x v="0"/>
    <n v="73.83"/>
    <s v="991 Main St"/>
    <s v="Debit Card"/>
    <s v="Pending"/>
    <s v="TRK67342586"/>
    <n v="9"/>
    <m/>
    <x v="0"/>
    <n v="369.15"/>
    <x v="2"/>
  </r>
  <r>
    <s v="ORD200901"/>
    <d v="2024-04-28T00:00:00"/>
    <s v="C44277"/>
    <s v="Tablet"/>
    <x v="2"/>
    <n v="458.63"/>
    <s v="839 Main St"/>
    <s v="Debit Card"/>
    <s v="Returned"/>
    <s v="TRK79321479"/>
    <n v="4"/>
    <s v="WINTER15"/>
    <x v="1"/>
    <n v="458.63"/>
    <x v="6"/>
  </r>
  <r>
    <s v="ORD200902"/>
    <d v="2024-07-13T00:00:00"/>
    <s v="C61162"/>
    <s v="Monitor"/>
    <x v="3"/>
    <n v="180.25"/>
    <s v="813 Main St"/>
    <s v="Debit Card"/>
    <s v="Cancelled"/>
    <s v="TRK76712124"/>
    <n v="7"/>
    <m/>
    <x v="3"/>
    <n v="721"/>
    <x v="10"/>
  </r>
  <r>
    <s v="ORD200903"/>
    <d v="2023-05-17T00:00:00"/>
    <s v="C80868"/>
    <s v="Monitor"/>
    <x v="4"/>
    <n v="473.49"/>
    <s v="205 Main St"/>
    <s v="Credit Card"/>
    <s v="Pending"/>
    <s v="TRK56186636"/>
    <n v="7"/>
    <m/>
    <x v="2"/>
    <n v="1420.47"/>
    <x v="4"/>
  </r>
  <r>
    <s v="ORD200904"/>
    <d v="2025-02-05T00:00:00"/>
    <s v="C16693"/>
    <s v="Monitor"/>
    <x v="3"/>
    <n v="237.43"/>
    <s v="262 Main St"/>
    <s v="Cash"/>
    <s v="Cancelled"/>
    <s v="TRK41146508"/>
    <n v="8"/>
    <s v="WINTER15"/>
    <x v="1"/>
    <n v="949.72"/>
    <x v="2"/>
  </r>
  <r>
    <s v="ORD200905"/>
    <d v="2023-11-23T00:00:00"/>
    <s v="C67818"/>
    <s v="Laptop"/>
    <x v="2"/>
    <n v="442.39"/>
    <s v="101 Main St"/>
    <s v="Gift Card"/>
    <s v="Pending"/>
    <s v="TRK81978113"/>
    <n v="6"/>
    <s v="FREESHIP"/>
    <x v="3"/>
    <n v="442.39"/>
    <x v="7"/>
  </r>
  <r>
    <s v="ORD200906"/>
    <d v="2024-09-03T00:00:00"/>
    <s v="C49938"/>
    <s v="Monitor"/>
    <x v="2"/>
    <n v="62.12"/>
    <s v="141 Main St"/>
    <s v="Cash"/>
    <s v="Returned"/>
    <s v="TRK80175572"/>
    <n v="2"/>
    <m/>
    <x v="2"/>
    <n v="62.12"/>
    <x v="11"/>
  </r>
  <r>
    <s v="ORD200907"/>
    <d v="2024-08-04T00:00:00"/>
    <s v="C90898"/>
    <s v="Desk"/>
    <x v="0"/>
    <n v="298.39"/>
    <s v="583 Main St"/>
    <s v="Gift Card"/>
    <s v="Cancelled"/>
    <s v="TRK52935170"/>
    <n v="7"/>
    <s v="WINTER15"/>
    <x v="1"/>
    <n v="1491.95"/>
    <x v="1"/>
  </r>
  <r>
    <s v="ORD200908"/>
    <d v="2025-05-06T00:00:00"/>
    <s v="C35117"/>
    <s v="Desk"/>
    <x v="1"/>
    <n v="697.93"/>
    <s v="332 Main St"/>
    <s v="Credit Card"/>
    <s v="Cancelled"/>
    <s v="TRK27155709"/>
    <n v="2"/>
    <s v="SAVE10"/>
    <x v="4"/>
    <n v="1395.86"/>
    <x v="4"/>
  </r>
  <r>
    <s v="ORD200909"/>
    <d v="2024-05-27T00:00:00"/>
    <s v="C60203"/>
    <s v="Tablet"/>
    <x v="1"/>
    <n v="291.85000000000002"/>
    <s v="569 Main St"/>
    <s v="Cash"/>
    <s v="Shipped"/>
    <s v="TRK76525279"/>
    <n v="5"/>
    <s v="FREESHIP"/>
    <x v="0"/>
    <n v="583.70000000000005"/>
    <x v="4"/>
  </r>
  <r>
    <s v="ORD200910"/>
    <d v="2024-05-31T00:00:00"/>
    <s v="C36174"/>
    <s v="Printer"/>
    <x v="4"/>
    <n v="308.98"/>
    <s v="348 Main St"/>
    <s v="Cash"/>
    <s v="Delivered"/>
    <s v="TRK26397548"/>
    <n v="3"/>
    <s v="SAVE10"/>
    <x v="0"/>
    <n v="926.94"/>
    <x v="4"/>
  </r>
  <r>
    <s v="ORD200911"/>
    <d v="2024-08-13T00:00:00"/>
    <s v="C80872"/>
    <s v="Desk"/>
    <x v="0"/>
    <n v="396.86"/>
    <s v="593 Main St"/>
    <s v="Cash"/>
    <s v="Cancelled"/>
    <s v="TRK43967487"/>
    <n v="9"/>
    <s v="SAVE10"/>
    <x v="0"/>
    <n v="1984.3"/>
    <x v="1"/>
  </r>
  <r>
    <s v="ORD200912"/>
    <d v="2024-01-22T00:00:00"/>
    <s v="C67604"/>
    <s v="Desk"/>
    <x v="1"/>
    <n v="139.69"/>
    <s v="318 Main St"/>
    <s v="Online"/>
    <s v="Returned"/>
    <s v="TRK85545920"/>
    <n v="7"/>
    <s v="FREESHIP"/>
    <x v="2"/>
    <n v="279.38"/>
    <x v="0"/>
  </r>
  <r>
    <s v="ORD200913"/>
    <d v="2023-02-16T00:00:00"/>
    <s v="C45599"/>
    <s v="Printer"/>
    <x v="0"/>
    <n v="475.95"/>
    <s v="505 Main St"/>
    <s v="Credit Card"/>
    <s v="Returned"/>
    <s v="TRK62277685"/>
    <n v="8"/>
    <s v="WINTER15"/>
    <x v="3"/>
    <n v="2379.75"/>
    <x v="2"/>
  </r>
  <r>
    <s v="ORD200914"/>
    <d v="2025-02-10T00:00:00"/>
    <s v="C70352"/>
    <s v="Desk"/>
    <x v="2"/>
    <n v="626.6"/>
    <s v="955 Main St"/>
    <s v="Gift Card"/>
    <s v="Returned"/>
    <s v="TRK51589589"/>
    <n v="4"/>
    <s v="WINTER15"/>
    <x v="3"/>
    <n v="626.6"/>
    <x v="2"/>
  </r>
  <r>
    <s v="ORD200915"/>
    <d v="2024-02-16T00:00:00"/>
    <s v="C20643"/>
    <s v="Laptop"/>
    <x v="3"/>
    <n v="502.99"/>
    <s v="939 Main St"/>
    <s v="Debit Card"/>
    <s v="Shipped"/>
    <s v="TRK30736692"/>
    <n v="4"/>
    <s v="WINTER15"/>
    <x v="1"/>
    <n v="2011.96"/>
    <x v="2"/>
  </r>
  <r>
    <s v="ORD200916"/>
    <d v="2024-06-21T00:00:00"/>
    <s v="C35669"/>
    <s v="Printer"/>
    <x v="0"/>
    <n v="578.83000000000004"/>
    <s v="165 Main St"/>
    <s v="Cash"/>
    <s v="Returned"/>
    <s v="TRK13928455"/>
    <n v="6"/>
    <m/>
    <x v="1"/>
    <n v="2894.15"/>
    <x v="5"/>
  </r>
  <r>
    <s v="ORD200917"/>
    <d v="2025-01-20T00:00:00"/>
    <s v="C65524"/>
    <s v="Laptop"/>
    <x v="0"/>
    <n v="383.82"/>
    <s v="836 Main St"/>
    <s v="Credit Card"/>
    <s v="Returned"/>
    <s v="TRK19315310"/>
    <n v="7"/>
    <s v="FREESHIP"/>
    <x v="4"/>
    <n v="1919.1"/>
    <x v="0"/>
  </r>
  <r>
    <s v="ORD200918"/>
    <d v="2025-06-24T00:00:00"/>
    <s v="C74359"/>
    <s v="Laptop"/>
    <x v="0"/>
    <n v="368.25"/>
    <s v="706 Main St"/>
    <s v="Online"/>
    <s v="Delivered"/>
    <s v="TRK18250450"/>
    <n v="5"/>
    <m/>
    <x v="0"/>
    <n v="1841.25"/>
    <x v="5"/>
  </r>
  <r>
    <s v="ORD200919"/>
    <d v="2025-02-07T00:00:00"/>
    <s v="C92086"/>
    <s v="Printer"/>
    <x v="1"/>
    <n v="374.6"/>
    <s v="187 Main St"/>
    <s v="Online"/>
    <s v="Shipped"/>
    <s v="TRK23357668"/>
    <n v="3"/>
    <s v="FREESHIP"/>
    <x v="1"/>
    <n v="749.2"/>
    <x v="2"/>
  </r>
  <r>
    <s v="ORD200920"/>
    <d v="2025-03-12T00:00:00"/>
    <s v="C26137"/>
    <s v="Tablet"/>
    <x v="1"/>
    <n v="428.09"/>
    <s v="978 Main St"/>
    <s v="Credit Card"/>
    <s v="Returned"/>
    <s v="TRK98110407"/>
    <n v="6"/>
    <m/>
    <x v="0"/>
    <n v="856.18"/>
    <x v="9"/>
  </r>
  <r>
    <s v="ORD200921"/>
    <d v="2023-07-24T00:00:00"/>
    <s v="C90573"/>
    <s v="Tablet"/>
    <x v="2"/>
    <n v="438.93"/>
    <s v="144 Main St"/>
    <s v="Gift Card"/>
    <s v="Cancelled"/>
    <s v="TRK90075720"/>
    <n v="3"/>
    <s v="SAVE10"/>
    <x v="1"/>
    <n v="438.93"/>
    <x v="10"/>
  </r>
  <r>
    <s v="ORD200922"/>
    <d v="2024-06-17T00:00:00"/>
    <s v="C81857"/>
    <s v="Desk"/>
    <x v="1"/>
    <n v="563.82000000000005"/>
    <s v="487 Main St"/>
    <s v="Credit Card"/>
    <s v="Pending"/>
    <s v="TRK79737732"/>
    <n v="3"/>
    <m/>
    <x v="0"/>
    <n v="1127.6400000000001"/>
    <x v="5"/>
  </r>
  <r>
    <s v="ORD200923"/>
    <d v="2023-02-11T00:00:00"/>
    <s v="C91582"/>
    <s v="Printer"/>
    <x v="4"/>
    <n v="649.92999999999995"/>
    <s v="836 Main St"/>
    <s v="Credit Card"/>
    <s v="Pending"/>
    <s v="TRK99938245"/>
    <n v="7"/>
    <s v="WINTER15"/>
    <x v="3"/>
    <n v="1949.79"/>
    <x v="2"/>
  </r>
  <r>
    <s v="ORD200924"/>
    <d v="2025-03-22T00:00:00"/>
    <s v="C81319"/>
    <s v="Printer"/>
    <x v="0"/>
    <n v="268.43"/>
    <s v="991 Main St"/>
    <s v="Cash"/>
    <s v="Returned"/>
    <s v="TRK55330558"/>
    <n v="5"/>
    <s v="SAVE10"/>
    <x v="2"/>
    <n v="1342.15"/>
    <x v="9"/>
  </r>
  <r>
    <s v="ORD200925"/>
    <d v="2024-12-20T00:00:00"/>
    <s v="C78500"/>
    <s v="Monitor"/>
    <x v="0"/>
    <n v="502.47"/>
    <s v="304 Main St"/>
    <s v="Online"/>
    <s v="Shipped"/>
    <s v="TRK97460884"/>
    <n v="10"/>
    <s v="WINTER15"/>
    <x v="2"/>
    <n v="2512.35"/>
    <x v="8"/>
  </r>
  <r>
    <s v="ORD200926"/>
    <d v="2024-03-20T00:00:00"/>
    <s v="C67533"/>
    <s v="Desk"/>
    <x v="2"/>
    <n v="26.95"/>
    <s v="672 Main St"/>
    <s v="Cash"/>
    <s v="Delivered"/>
    <s v="TRK14566395"/>
    <n v="1"/>
    <s v="WINTER15"/>
    <x v="2"/>
    <n v="26.95"/>
    <x v="9"/>
  </r>
  <r>
    <s v="ORD200927"/>
    <d v="2023-02-14T00:00:00"/>
    <s v="C35566"/>
    <s v="Laptop"/>
    <x v="3"/>
    <n v="64.69"/>
    <s v="638 Main St"/>
    <s v="Debit Card"/>
    <s v="Shipped"/>
    <s v="TRK10003020"/>
    <n v="7"/>
    <s v="WINTER15"/>
    <x v="4"/>
    <n v="258.76"/>
    <x v="2"/>
  </r>
  <r>
    <s v="ORD200928"/>
    <d v="2024-05-09T00:00:00"/>
    <s v="C77166"/>
    <s v="Laptop"/>
    <x v="4"/>
    <n v="247.11"/>
    <s v="821 Main St"/>
    <s v="Debit Card"/>
    <s v="Returned"/>
    <s v="TRK18896595"/>
    <n v="3"/>
    <s v="WINTER15"/>
    <x v="1"/>
    <n v="741.33"/>
    <x v="4"/>
  </r>
  <r>
    <s v="ORD200929"/>
    <d v="2024-10-16T00:00:00"/>
    <s v="C67936"/>
    <s v="Tablet"/>
    <x v="1"/>
    <n v="536.25"/>
    <s v="553 Main St"/>
    <s v="Debit Card"/>
    <s v="Pending"/>
    <s v="TRK71803414"/>
    <n v="3"/>
    <m/>
    <x v="2"/>
    <n v="1072.5"/>
    <x v="3"/>
  </r>
  <r>
    <s v="ORD200930"/>
    <d v="2024-12-16T00:00:00"/>
    <s v="C59554"/>
    <s v="Phone"/>
    <x v="1"/>
    <n v="456.04"/>
    <s v="382 Main St"/>
    <s v="Debit Card"/>
    <s v="Returned"/>
    <s v="TRK28182447"/>
    <n v="4"/>
    <s v="FREESHIP"/>
    <x v="2"/>
    <n v="912.08"/>
    <x v="8"/>
  </r>
  <r>
    <s v="ORD200931"/>
    <d v="2024-01-01T00:00:00"/>
    <s v="C14005"/>
    <s v="Printer"/>
    <x v="1"/>
    <n v="40.229999999999997"/>
    <s v="623 Main St"/>
    <s v="Credit Card"/>
    <s v="Cancelled"/>
    <s v="TRK87567926"/>
    <n v="4"/>
    <s v="SAVE10"/>
    <x v="4"/>
    <n v="80.459999999999994"/>
    <x v="0"/>
  </r>
  <r>
    <s v="ORD200932"/>
    <d v="2023-03-26T00:00:00"/>
    <s v="C26118"/>
    <s v="Laptop"/>
    <x v="1"/>
    <n v="72.39"/>
    <s v="168 Main St"/>
    <s v="Online"/>
    <s v="Delivered"/>
    <s v="TRK15334251"/>
    <n v="7"/>
    <s v="WINTER15"/>
    <x v="0"/>
    <n v="144.78"/>
    <x v="9"/>
  </r>
  <r>
    <s v="ORD200933"/>
    <d v="2023-01-26T00:00:00"/>
    <s v="C59685"/>
    <s v="Monitor"/>
    <x v="1"/>
    <n v="394.16"/>
    <s v="255 Main St"/>
    <s v="Online"/>
    <s v="Shipped"/>
    <s v="TRK43718093"/>
    <n v="2"/>
    <m/>
    <x v="1"/>
    <n v="788.32"/>
    <x v="0"/>
  </r>
  <r>
    <s v="ORD200934"/>
    <d v="2025-06-01T00:00:00"/>
    <s v="C40304"/>
    <s v="Laptop"/>
    <x v="3"/>
    <n v="119.84"/>
    <s v="692 Main St"/>
    <s v="Gift Card"/>
    <s v="Shipped"/>
    <s v="TRK85790948"/>
    <n v="8"/>
    <s v="FREESHIP"/>
    <x v="1"/>
    <n v="479.36"/>
    <x v="5"/>
  </r>
  <r>
    <s v="ORD200935"/>
    <d v="2023-11-24T00:00:00"/>
    <s v="C39593"/>
    <s v="Phone"/>
    <x v="4"/>
    <n v="692.71"/>
    <s v="398 Main St"/>
    <s v="Credit Card"/>
    <s v="Delivered"/>
    <s v="TRK62405253"/>
    <n v="3"/>
    <s v="FREESHIP"/>
    <x v="0"/>
    <n v="2078.13"/>
    <x v="7"/>
  </r>
  <r>
    <s v="ORD200936"/>
    <d v="2024-01-12T00:00:00"/>
    <s v="C50612"/>
    <s v="Chair"/>
    <x v="3"/>
    <n v="56.66"/>
    <s v="737 Main St"/>
    <s v="Online"/>
    <s v="Delivered"/>
    <s v="TRK44140968"/>
    <n v="4"/>
    <s v="SAVE10"/>
    <x v="0"/>
    <n v="226.64"/>
    <x v="0"/>
  </r>
  <r>
    <s v="ORD200937"/>
    <d v="2024-01-16T00:00:00"/>
    <s v="C39791"/>
    <s v="Chair"/>
    <x v="1"/>
    <n v="298.52999999999997"/>
    <s v="536 Main St"/>
    <s v="Debit Card"/>
    <s v="Cancelled"/>
    <s v="TRK46221436"/>
    <n v="5"/>
    <s v="WINTER15"/>
    <x v="2"/>
    <n v="597.05999999999995"/>
    <x v="0"/>
  </r>
  <r>
    <s v="ORD200938"/>
    <d v="2023-07-12T00:00:00"/>
    <s v="C39017"/>
    <s v="Chair"/>
    <x v="4"/>
    <n v="331.46"/>
    <s v="696 Main St"/>
    <s v="Credit Card"/>
    <s v="Cancelled"/>
    <s v="TRK91155214"/>
    <n v="6"/>
    <s v="WINTER15"/>
    <x v="1"/>
    <n v="994.37999999999988"/>
    <x v="10"/>
  </r>
  <r>
    <s v="ORD200939"/>
    <d v="2025-04-16T00:00:00"/>
    <s v="C48510"/>
    <s v="Laptop"/>
    <x v="1"/>
    <n v="521.4"/>
    <s v="212 Main St"/>
    <s v="Cash"/>
    <s v="Delivered"/>
    <s v="TRK53152886"/>
    <n v="7"/>
    <s v="SAVE10"/>
    <x v="0"/>
    <n v="1042.8"/>
    <x v="6"/>
  </r>
  <r>
    <s v="ORD200940"/>
    <d v="2023-03-27T00:00:00"/>
    <s v="C74003"/>
    <s v="Printer"/>
    <x v="3"/>
    <n v="305.32"/>
    <s v="679 Main St"/>
    <s v="Online"/>
    <s v="Cancelled"/>
    <s v="TRK91525779"/>
    <n v="4"/>
    <s v="SAVE10"/>
    <x v="4"/>
    <n v="1221.28"/>
    <x v="9"/>
  </r>
  <r>
    <s v="ORD200941"/>
    <d v="2023-07-17T00:00:00"/>
    <s v="C91155"/>
    <s v="Printer"/>
    <x v="0"/>
    <n v="111.7"/>
    <s v="599 Main St"/>
    <s v="Credit Card"/>
    <s v="Cancelled"/>
    <s v="TRK82162952"/>
    <n v="9"/>
    <s v="FREESHIP"/>
    <x v="2"/>
    <n v="558.5"/>
    <x v="10"/>
  </r>
  <r>
    <s v="ORD200942"/>
    <d v="2023-09-29T00:00:00"/>
    <s v="C17591"/>
    <s v="Tablet"/>
    <x v="2"/>
    <n v="479.76"/>
    <s v="882 Main St"/>
    <s v="Credit Card"/>
    <s v="Pending"/>
    <s v="TRK56070470"/>
    <n v="1"/>
    <m/>
    <x v="2"/>
    <n v="479.76"/>
    <x v="11"/>
  </r>
  <r>
    <s v="ORD200943"/>
    <d v="2023-12-27T00:00:00"/>
    <s v="C43330"/>
    <s v="Monitor"/>
    <x v="4"/>
    <n v="193.49"/>
    <s v="355 Main St"/>
    <s v="Gift Card"/>
    <s v="Returned"/>
    <s v="TRK71594838"/>
    <n v="6"/>
    <s v="FREESHIP"/>
    <x v="3"/>
    <n v="580.47"/>
    <x v="8"/>
  </r>
  <r>
    <s v="ORD200944"/>
    <d v="2024-12-16T00:00:00"/>
    <s v="C32687"/>
    <s v="Laptop"/>
    <x v="1"/>
    <n v="426.22"/>
    <s v="448 Main St"/>
    <s v="Online"/>
    <s v="Delivered"/>
    <s v="TRK98284560"/>
    <n v="7"/>
    <s v="WINTER15"/>
    <x v="4"/>
    <n v="852.44"/>
    <x v="8"/>
  </r>
  <r>
    <s v="ORD200945"/>
    <d v="2023-08-20T00:00:00"/>
    <s v="C79722"/>
    <s v="Tablet"/>
    <x v="0"/>
    <n v="276.44"/>
    <s v="619 Main St"/>
    <s v="Gift Card"/>
    <s v="Shipped"/>
    <s v="TRK29976438"/>
    <n v="10"/>
    <s v="FREESHIP"/>
    <x v="1"/>
    <n v="1382.2"/>
    <x v="1"/>
  </r>
  <r>
    <s v="ORD200946"/>
    <d v="2024-05-04T00:00:00"/>
    <s v="C65021"/>
    <s v="Phone"/>
    <x v="1"/>
    <n v="404.96"/>
    <s v="546 Main St"/>
    <s v="Cash"/>
    <s v="Shipped"/>
    <s v="TRK20626179"/>
    <n v="4"/>
    <s v="SAVE10"/>
    <x v="2"/>
    <n v="809.92"/>
    <x v="4"/>
  </r>
  <r>
    <s v="ORD200947"/>
    <d v="2023-09-07T00:00:00"/>
    <s v="C85520"/>
    <s v="Phone"/>
    <x v="3"/>
    <n v="465.66"/>
    <s v="119 Main St"/>
    <s v="Online"/>
    <s v="Returned"/>
    <s v="TRK65994177"/>
    <n v="9"/>
    <s v="FREESHIP"/>
    <x v="2"/>
    <n v="1862.64"/>
    <x v="11"/>
  </r>
  <r>
    <s v="ORD200948"/>
    <d v="2024-06-21T00:00:00"/>
    <s v="C94569"/>
    <s v="Phone"/>
    <x v="1"/>
    <n v="594.07000000000005"/>
    <s v="739 Main St"/>
    <s v="Gift Card"/>
    <s v="Cancelled"/>
    <s v="TRK79269291"/>
    <n v="2"/>
    <m/>
    <x v="4"/>
    <n v="1188.1400000000001"/>
    <x v="5"/>
  </r>
  <r>
    <s v="ORD200949"/>
    <d v="2023-11-09T00:00:00"/>
    <s v="C55778"/>
    <s v="Desk"/>
    <x v="0"/>
    <n v="110.38"/>
    <s v="319 Main St"/>
    <s v="Cash"/>
    <s v="Pending"/>
    <s v="TRK93797108"/>
    <n v="10"/>
    <m/>
    <x v="1"/>
    <n v="551.9"/>
    <x v="7"/>
  </r>
  <r>
    <s v="ORD200950"/>
    <d v="2024-05-31T00:00:00"/>
    <s v="C19722"/>
    <s v="Laptop"/>
    <x v="2"/>
    <n v="596.24"/>
    <s v="891 Main St"/>
    <s v="Credit Card"/>
    <s v="Returned"/>
    <s v="TRK78094361"/>
    <n v="4"/>
    <s v="FREESHIP"/>
    <x v="0"/>
    <n v="596.24"/>
    <x v="4"/>
  </r>
  <r>
    <s v="ORD200951"/>
    <d v="2024-07-22T00:00:00"/>
    <s v="C74928"/>
    <s v="Printer"/>
    <x v="1"/>
    <n v="306.24"/>
    <s v="589 Main St"/>
    <s v="Online"/>
    <s v="Returned"/>
    <s v="TRK39845914"/>
    <n v="4"/>
    <s v="FREESHIP"/>
    <x v="2"/>
    <n v="612.48"/>
    <x v="10"/>
  </r>
  <r>
    <s v="ORD200952"/>
    <d v="2025-02-27T00:00:00"/>
    <s v="C49111"/>
    <s v="Monitor"/>
    <x v="4"/>
    <n v="503.39"/>
    <s v="225 Main St"/>
    <s v="Online"/>
    <s v="Pending"/>
    <s v="TRK45303393"/>
    <n v="5"/>
    <m/>
    <x v="3"/>
    <n v="1510.17"/>
    <x v="2"/>
  </r>
  <r>
    <s v="ORD200953"/>
    <d v="2023-02-06T00:00:00"/>
    <s v="C43721"/>
    <s v="Phone"/>
    <x v="2"/>
    <n v="131.61000000000001"/>
    <s v="971 Main St"/>
    <s v="Cash"/>
    <s v="Shipped"/>
    <s v="TRK89392104"/>
    <n v="2"/>
    <s v="FREESHIP"/>
    <x v="3"/>
    <n v="131.61000000000001"/>
    <x v="2"/>
  </r>
  <r>
    <s v="ORD200954"/>
    <d v="2024-10-22T00:00:00"/>
    <s v="C68609"/>
    <s v="Chair"/>
    <x v="4"/>
    <n v="443.44"/>
    <s v="240 Main St"/>
    <s v="Gift Card"/>
    <s v="Shipped"/>
    <s v="TRK58273778"/>
    <n v="3"/>
    <s v="FREESHIP"/>
    <x v="4"/>
    <n v="1330.32"/>
    <x v="3"/>
  </r>
  <r>
    <s v="ORD200955"/>
    <d v="2023-01-23T00:00:00"/>
    <s v="C82068"/>
    <s v="Chair"/>
    <x v="2"/>
    <n v="408.13"/>
    <s v="164 Main St"/>
    <s v="Gift Card"/>
    <s v="Shipped"/>
    <s v="TRK25779180"/>
    <n v="3"/>
    <s v="WINTER15"/>
    <x v="0"/>
    <n v="408.13"/>
    <x v="0"/>
  </r>
  <r>
    <s v="ORD200956"/>
    <d v="2024-04-11T00:00:00"/>
    <s v="C21191"/>
    <s v="Phone"/>
    <x v="1"/>
    <n v="160.97999999999999"/>
    <s v="381 Main St"/>
    <s v="Debit Card"/>
    <s v="Delivered"/>
    <s v="TRK86246309"/>
    <n v="3"/>
    <s v="SAVE10"/>
    <x v="1"/>
    <n v="321.95999999999998"/>
    <x v="6"/>
  </r>
  <r>
    <s v="ORD200957"/>
    <d v="2023-01-12T00:00:00"/>
    <s v="C73575"/>
    <s v="Monitor"/>
    <x v="0"/>
    <n v="643.89"/>
    <s v="851 Main St"/>
    <s v="Cash"/>
    <s v="Returned"/>
    <s v="TRK23387612"/>
    <n v="8"/>
    <s v="WINTER15"/>
    <x v="3"/>
    <n v="3219.45"/>
    <x v="0"/>
  </r>
  <r>
    <s v="ORD200958"/>
    <d v="2023-05-13T00:00:00"/>
    <s v="C82685"/>
    <s v="Desk"/>
    <x v="4"/>
    <n v="158.66"/>
    <s v="537 Main St"/>
    <s v="Gift Card"/>
    <s v="Delivered"/>
    <s v="TRK70184320"/>
    <n v="7"/>
    <s v="WINTER15"/>
    <x v="2"/>
    <n v="475.98"/>
    <x v="4"/>
  </r>
  <r>
    <s v="ORD200959"/>
    <d v="2024-04-13T00:00:00"/>
    <s v="C73996"/>
    <s v="Tablet"/>
    <x v="1"/>
    <n v="143.82"/>
    <s v="856 Main St"/>
    <s v="Credit Card"/>
    <s v="Returned"/>
    <s v="TRK74579570"/>
    <n v="6"/>
    <s v="SAVE10"/>
    <x v="0"/>
    <n v="287.64"/>
    <x v="6"/>
  </r>
  <r>
    <s v="ORD200960"/>
    <d v="2023-12-11T00:00:00"/>
    <s v="C87687"/>
    <s v="Laptop"/>
    <x v="4"/>
    <n v="379.07"/>
    <s v="312 Main St"/>
    <s v="Gift Card"/>
    <s v="Pending"/>
    <s v="TRK60383805"/>
    <n v="3"/>
    <s v="WINTER15"/>
    <x v="4"/>
    <n v="1137.21"/>
    <x v="8"/>
  </r>
  <r>
    <s v="ORD200961"/>
    <d v="2024-11-11T00:00:00"/>
    <s v="C55464"/>
    <s v="Phone"/>
    <x v="2"/>
    <n v="601.36"/>
    <s v="532 Main St"/>
    <s v="Online"/>
    <s v="Shipped"/>
    <s v="TRK81178598"/>
    <n v="1"/>
    <m/>
    <x v="3"/>
    <n v="601.36"/>
    <x v="7"/>
  </r>
  <r>
    <s v="ORD200962"/>
    <d v="2024-09-06T00:00:00"/>
    <s v="C12459"/>
    <s v="Phone"/>
    <x v="1"/>
    <n v="142.08000000000001"/>
    <s v="838 Main St"/>
    <s v="Gift Card"/>
    <s v="Delivered"/>
    <s v="TRK30674085"/>
    <n v="4"/>
    <s v="SAVE10"/>
    <x v="1"/>
    <n v="284.16000000000003"/>
    <x v="11"/>
  </r>
  <r>
    <s v="ORD200963"/>
    <d v="2024-03-11T00:00:00"/>
    <s v="C88075"/>
    <s v="Chair"/>
    <x v="0"/>
    <n v="530.34"/>
    <s v="970 Main St"/>
    <s v="Online"/>
    <s v="Shipped"/>
    <s v="TRK42832976"/>
    <n v="9"/>
    <s v="FREESHIP"/>
    <x v="4"/>
    <n v="2651.7"/>
    <x v="9"/>
  </r>
  <r>
    <s v="ORD200964"/>
    <d v="2023-08-20T00:00:00"/>
    <s v="C18583"/>
    <s v="Phone"/>
    <x v="0"/>
    <n v="364.42"/>
    <s v="778 Main St"/>
    <s v="Credit Card"/>
    <s v="Cancelled"/>
    <s v="TRK43084595"/>
    <n v="10"/>
    <s v="SAVE10"/>
    <x v="1"/>
    <n v="1822.1"/>
    <x v="1"/>
  </r>
  <r>
    <s v="ORD200965"/>
    <d v="2025-06-18T00:00:00"/>
    <s v="C70412"/>
    <s v="Laptop"/>
    <x v="3"/>
    <n v="578.28"/>
    <s v="791 Main St"/>
    <s v="Gift Card"/>
    <s v="Cancelled"/>
    <s v="TRK22192783"/>
    <n v="5"/>
    <s v="FREESHIP"/>
    <x v="2"/>
    <n v="2313.12"/>
    <x v="5"/>
  </r>
  <r>
    <s v="ORD200966"/>
    <d v="2025-05-20T00:00:00"/>
    <s v="C58503"/>
    <s v="Monitor"/>
    <x v="0"/>
    <n v="280.52"/>
    <s v="290 Main St"/>
    <s v="Credit Card"/>
    <s v="Cancelled"/>
    <s v="TRK12981657"/>
    <n v="7"/>
    <s v="WINTER15"/>
    <x v="3"/>
    <n v="1402.6"/>
    <x v="4"/>
  </r>
  <r>
    <s v="ORD200967"/>
    <d v="2025-05-06T00:00:00"/>
    <s v="C52879"/>
    <s v="Tablet"/>
    <x v="0"/>
    <n v="638.91999999999996"/>
    <s v="502 Main St"/>
    <s v="Credit Card"/>
    <s v="Returned"/>
    <s v="TRK67403284"/>
    <n v="5"/>
    <s v="FREESHIP"/>
    <x v="4"/>
    <n v="3194.6"/>
    <x v="4"/>
  </r>
  <r>
    <s v="ORD200968"/>
    <d v="2024-02-08T00:00:00"/>
    <s v="C67870"/>
    <s v="Monitor"/>
    <x v="3"/>
    <n v="412.2"/>
    <s v="664 Main St"/>
    <s v="Credit Card"/>
    <s v="Shipped"/>
    <s v="TRK72602178"/>
    <n v="6"/>
    <s v="WINTER15"/>
    <x v="1"/>
    <n v="1648.8"/>
    <x v="2"/>
  </r>
  <r>
    <s v="ORD200969"/>
    <d v="2025-06-05T00:00:00"/>
    <s v="C19439"/>
    <s v="Desk"/>
    <x v="2"/>
    <n v="440.34"/>
    <s v="675 Main St"/>
    <s v="Gift Card"/>
    <s v="Shipped"/>
    <s v="TRK25383993"/>
    <n v="2"/>
    <s v="WINTER15"/>
    <x v="3"/>
    <n v="440.34"/>
    <x v="5"/>
  </r>
  <r>
    <s v="ORD200970"/>
    <d v="2024-09-07T00:00:00"/>
    <s v="C72664"/>
    <s v="Desk"/>
    <x v="2"/>
    <n v="627.15"/>
    <s v="241 Main St"/>
    <s v="Cash"/>
    <s v="Delivered"/>
    <s v="TRK86694331"/>
    <n v="5"/>
    <s v="SAVE10"/>
    <x v="0"/>
    <n v="627.15"/>
    <x v="11"/>
  </r>
  <r>
    <s v="ORD200971"/>
    <d v="2024-05-27T00:00:00"/>
    <s v="C32650"/>
    <s v="Monitor"/>
    <x v="1"/>
    <n v="605.26"/>
    <s v="934 Main St"/>
    <s v="Cash"/>
    <s v="Cancelled"/>
    <s v="TRK66648743"/>
    <n v="4"/>
    <s v="WINTER15"/>
    <x v="1"/>
    <n v="1210.52"/>
    <x v="4"/>
  </r>
  <r>
    <s v="ORD200972"/>
    <d v="2024-06-09T00:00:00"/>
    <s v="C66438"/>
    <s v="Laptop"/>
    <x v="2"/>
    <n v="90.27"/>
    <s v="816 Main St"/>
    <s v="Cash"/>
    <s v="Delivered"/>
    <s v="TRK32035271"/>
    <n v="5"/>
    <s v="SAVE10"/>
    <x v="3"/>
    <n v="90.27"/>
    <x v="5"/>
  </r>
  <r>
    <s v="ORD200973"/>
    <d v="2025-06-09T00:00:00"/>
    <s v="C70010"/>
    <s v="Desk"/>
    <x v="0"/>
    <n v="230.77"/>
    <s v="141 Main St"/>
    <s v="Online"/>
    <s v="Pending"/>
    <s v="TRK50594008"/>
    <n v="10"/>
    <s v="WINTER15"/>
    <x v="1"/>
    <n v="1153.8499999999999"/>
    <x v="5"/>
  </r>
  <r>
    <s v="ORD200974"/>
    <d v="2023-09-27T00:00:00"/>
    <s v="C30722"/>
    <s v="Desk"/>
    <x v="0"/>
    <n v="266.77999999999997"/>
    <s v="274 Main St"/>
    <s v="Gift Card"/>
    <s v="Cancelled"/>
    <s v="TRK52088168"/>
    <n v="5"/>
    <m/>
    <x v="2"/>
    <n v="1333.9"/>
    <x v="11"/>
  </r>
  <r>
    <s v="ORD200975"/>
    <d v="2023-05-18T00:00:00"/>
    <s v="C70529"/>
    <s v="Desk"/>
    <x v="2"/>
    <n v="105.92"/>
    <s v="974 Main St"/>
    <s v="Gift Card"/>
    <s v="Returned"/>
    <s v="TRK82165408"/>
    <n v="6"/>
    <s v="SAVE10"/>
    <x v="2"/>
    <n v="105.92"/>
    <x v="4"/>
  </r>
  <r>
    <s v="ORD200976"/>
    <d v="2024-04-04T00:00:00"/>
    <s v="C18984"/>
    <s v="Tablet"/>
    <x v="4"/>
    <n v="589.29999999999995"/>
    <s v="650 Main St"/>
    <s v="Credit Card"/>
    <s v="Returned"/>
    <s v="TRK49298239"/>
    <n v="6"/>
    <s v="WINTER15"/>
    <x v="1"/>
    <n v="1767.9"/>
    <x v="6"/>
  </r>
  <r>
    <s v="ORD200977"/>
    <d v="2023-01-28T00:00:00"/>
    <s v="C85841"/>
    <s v="Chair"/>
    <x v="3"/>
    <n v="649.47"/>
    <s v="608 Main St"/>
    <s v="Cash"/>
    <s v="Pending"/>
    <s v="TRK99820544"/>
    <n v="8"/>
    <s v="SAVE10"/>
    <x v="4"/>
    <n v="2597.88"/>
    <x v="0"/>
  </r>
  <r>
    <s v="ORD200978"/>
    <d v="2024-06-25T00:00:00"/>
    <s v="C41508"/>
    <s v="Printer"/>
    <x v="3"/>
    <n v="107.49"/>
    <s v="993 Main St"/>
    <s v="Cash"/>
    <s v="Delivered"/>
    <s v="TRK61047536"/>
    <n v="5"/>
    <m/>
    <x v="4"/>
    <n v="429.96"/>
    <x v="5"/>
  </r>
  <r>
    <s v="ORD200979"/>
    <d v="2023-05-31T00:00:00"/>
    <s v="C75018"/>
    <s v="Monitor"/>
    <x v="4"/>
    <n v="669.06"/>
    <s v="299 Main St"/>
    <s v="Cash"/>
    <s v="Delivered"/>
    <s v="TRK51794806"/>
    <n v="7"/>
    <s v="SAVE10"/>
    <x v="3"/>
    <n v="2007.18"/>
    <x v="4"/>
  </r>
  <r>
    <s v="ORD200980"/>
    <d v="2023-10-14T00:00:00"/>
    <s v="C84320"/>
    <s v="Chair"/>
    <x v="4"/>
    <n v="69.650000000000006"/>
    <s v="107 Main St"/>
    <s v="Cash"/>
    <s v="Delivered"/>
    <s v="TRK81093218"/>
    <n v="7"/>
    <s v="WINTER15"/>
    <x v="0"/>
    <n v="208.95"/>
    <x v="3"/>
  </r>
  <r>
    <s v="ORD200981"/>
    <d v="2023-11-26T00:00:00"/>
    <s v="C12609"/>
    <s v="Phone"/>
    <x v="3"/>
    <n v="136.83000000000001"/>
    <s v="490 Main St"/>
    <s v="Debit Card"/>
    <s v="Pending"/>
    <s v="TRK56379337"/>
    <n v="8"/>
    <s v="SAVE10"/>
    <x v="2"/>
    <n v="547.32000000000005"/>
    <x v="7"/>
  </r>
  <r>
    <s v="ORD200982"/>
    <d v="2024-09-06T00:00:00"/>
    <s v="C64935"/>
    <s v="Monitor"/>
    <x v="2"/>
    <n v="304.11"/>
    <s v="707 Main St"/>
    <s v="Gift Card"/>
    <s v="Shipped"/>
    <s v="TRK42969065"/>
    <n v="2"/>
    <s v="SAVE10"/>
    <x v="1"/>
    <n v="304.11"/>
    <x v="11"/>
  </r>
  <r>
    <s v="ORD200983"/>
    <d v="2024-11-24T00:00:00"/>
    <s v="C67528"/>
    <s v="Monitor"/>
    <x v="3"/>
    <n v="296.27999999999997"/>
    <s v="110 Main St"/>
    <s v="Gift Card"/>
    <s v="Shipped"/>
    <s v="TRK60865210"/>
    <n v="5"/>
    <s v="SAVE10"/>
    <x v="2"/>
    <n v="1185.1199999999999"/>
    <x v="7"/>
  </r>
  <r>
    <s v="ORD200984"/>
    <d v="2025-02-28T00:00:00"/>
    <s v="C44176"/>
    <s v="Desk"/>
    <x v="2"/>
    <n v="77.64"/>
    <s v="706 Main St"/>
    <s v="Credit Card"/>
    <s v="Shipped"/>
    <s v="TRK68704764"/>
    <n v="1"/>
    <s v="FREESHIP"/>
    <x v="3"/>
    <n v="77.64"/>
    <x v="2"/>
  </r>
  <r>
    <s v="ORD200985"/>
    <d v="2024-07-20T00:00:00"/>
    <s v="C92788"/>
    <s v="Desk"/>
    <x v="2"/>
    <n v="243.71"/>
    <s v="948 Main St"/>
    <s v="Gift Card"/>
    <s v="Delivered"/>
    <s v="TRK83835361"/>
    <n v="6"/>
    <s v="SAVE10"/>
    <x v="4"/>
    <n v="243.71"/>
    <x v="10"/>
  </r>
  <r>
    <s v="ORD200986"/>
    <d v="2024-09-07T00:00:00"/>
    <s v="C69213"/>
    <s v="Laptop"/>
    <x v="3"/>
    <n v="644.96"/>
    <s v="533 Main St"/>
    <s v="Credit Card"/>
    <s v="Pending"/>
    <s v="TRK67837331"/>
    <n v="7"/>
    <s v="FREESHIP"/>
    <x v="2"/>
    <n v="2579.84"/>
    <x v="11"/>
  </r>
  <r>
    <s v="ORD200987"/>
    <d v="2025-06-05T00:00:00"/>
    <s v="C67387"/>
    <s v="Phone"/>
    <x v="0"/>
    <n v="283.73"/>
    <s v="436 Main St"/>
    <s v="Gift Card"/>
    <s v="Pending"/>
    <s v="TRK54120003"/>
    <n v="8"/>
    <s v="FREESHIP"/>
    <x v="0"/>
    <n v="1418.65"/>
    <x v="5"/>
  </r>
  <r>
    <s v="ORD200988"/>
    <d v="2025-02-04T00:00:00"/>
    <s v="C90318"/>
    <s v="Desk"/>
    <x v="1"/>
    <n v="629.55999999999995"/>
    <s v="818 Main St"/>
    <s v="Gift Card"/>
    <s v="Cancelled"/>
    <s v="TRK52765043"/>
    <n v="5"/>
    <s v="WINTER15"/>
    <x v="0"/>
    <n v="1259.1199999999999"/>
    <x v="2"/>
  </r>
  <r>
    <s v="ORD200989"/>
    <d v="2023-03-23T00:00:00"/>
    <s v="C49995"/>
    <s v="Laptop"/>
    <x v="3"/>
    <n v="246.11"/>
    <s v="559 Main St"/>
    <s v="Credit Card"/>
    <s v="Pending"/>
    <s v="TRK33212013"/>
    <n v="4"/>
    <s v="SAVE10"/>
    <x v="0"/>
    <n v="984.44"/>
    <x v="9"/>
  </r>
  <r>
    <s v="ORD200990"/>
    <d v="2023-11-19T00:00:00"/>
    <s v="C52313"/>
    <s v="Phone"/>
    <x v="1"/>
    <n v="418.26"/>
    <s v="913 Main St"/>
    <s v="Debit Card"/>
    <s v="Pending"/>
    <s v="TRK67368559"/>
    <n v="2"/>
    <s v="SAVE10"/>
    <x v="4"/>
    <n v="836.52"/>
    <x v="7"/>
  </r>
  <r>
    <s v="ORD200991"/>
    <d v="2024-05-09T00:00:00"/>
    <s v="C10211"/>
    <s v="Desk"/>
    <x v="0"/>
    <n v="127.18"/>
    <s v="598 Main St"/>
    <s v="Debit Card"/>
    <s v="Cancelled"/>
    <s v="TRK68938335"/>
    <n v="10"/>
    <s v="FREESHIP"/>
    <x v="4"/>
    <n v="635.90000000000009"/>
    <x v="4"/>
  </r>
  <r>
    <s v="ORD200992"/>
    <d v="2024-08-27T00:00:00"/>
    <s v="C97907"/>
    <s v="Printer"/>
    <x v="4"/>
    <n v="586.21"/>
    <s v="933 Main St"/>
    <s v="Gift Card"/>
    <s v="Pending"/>
    <s v="TRK89637569"/>
    <n v="4"/>
    <s v="WINTER15"/>
    <x v="1"/>
    <n v="1758.63"/>
    <x v="1"/>
  </r>
  <r>
    <s v="ORD200993"/>
    <d v="2024-04-06T00:00:00"/>
    <s v="C61384"/>
    <s v="Monitor"/>
    <x v="4"/>
    <n v="267.45"/>
    <s v="576 Main St"/>
    <s v="Gift Card"/>
    <s v="Delivered"/>
    <s v="TRK33323210"/>
    <n v="5"/>
    <s v="WINTER15"/>
    <x v="0"/>
    <n v="802.34999999999991"/>
    <x v="6"/>
  </r>
  <r>
    <s v="ORD200994"/>
    <d v="2024-06-27T00:00:00"/>
    <s v="C27613"/>
    <s v="Tablet"/>
    <x v="3"/>
    <n v="615.65"/>
    <s v="971 Main St"/>
    <s v="Debit Card"/>
    <s v="Delivered"/>
    <s v="TRK63701318"/>
    <n v="9"/>
    <s v="WINTER15"/>
    <x v="4"/>
    <n v="2462.6"/>
    <x v="5"/>
  </r>
  <r>
    <s v="ORD200995"/>
    <d v="2023-11-18T00:00:00"/>
    <s v="C99271"/>
    <s v="Monitor"/>
    <x v="1"/>
    <n v="113.29"/>
    <s v="959 Main St"/>
    <s v="Cash"/>
    <s v="Pending"/>
    <s v="TRK87832736"/>
    <n v="5"/>
    <s v="SAVE10"/>
    <x v="3"/>
    <n v="226.58"/>
    <x v="7"/>
  </r>
  <r>
    <s v="ORD200996"/>
    <d v="2024-04-28T00:00:00"/>
    <s v="C28648"/>
    <s v="Monitor"/>
    <x v="3"/>
    <n v="473.86"/>
    <s v="101 Main St"/>
    <s v="Debit Card"/>
    <s v="Delivered"/>
    <s v="TRK92240846"/>
    <n v="7"/>
    <s v="SAVE10"/>
    <x v="3"/>
    <n v="1895.44"/>
    <x v="6"/>
  </r>
  <r>
    <s v="ORD200997"/>
    <d v="2023-11-27T00:00:00"/>
    <s v="C26210"/>
    <s v="Laptop"/>
    <x v="4"/>
    <n v="444.75"/>
    <s v="805 Main St"/>
    <s v="Cash"/>
    <s v="Delivered"/>
    <s v="TRK40616861"/>
    <n v="6"/>
    <s v="SAVE10"/>
    <x v="3"/>
    <n v="1334.25"/>
    <x v="7"/>
  </r>
  <r>
    <s v="ORD200998"/>
    <d v="2023-05-19T00:00:00"/>
    <s v="C90350"/>
    <s v="Phone"/>
    <x v="1"/>
    <n v="183.67"/>
    <s v="783 Main St"/>
    <s v="Debit Card"/>
    <s v="Cancelled"/>
    <s v="TRK22824230"/>
    <n v="6"/>
    <s v="SAVE10"/>
    <x v="4"/>
    <n v="367.34"/>
    <x v="4"/>
  </r>
  <r>
    <s v="ORD200999"/>
    <d v="2023-12-24T00:00:00"/>
    <s v="C61957"/>
    <s v="Printer"/>
    <x v="2"/>
    <n v="483.38"/>
    <s v="652 Main St"/>
    <s v="Cash"/>
    <s v="Pending"/>
    <s v="TRK43983841"/>
    <n v="6"/>
    <s v="FREESHIP"/>
    <x v="4"/>
    <n v="483.38"/>
    <x v="8"/>
  </r>
  <r>
    <s v="ORD201000"/>
    <d v="2023-06-21T00:00:00"/>
    <s v="C90132"/>
    <s v="Printer"/>
    <x v="0"/>
    <n v="260.93"/>
    <s v="582 Main St"/>
    <s v="Online"/>
    <s v="Delivered"/>
    <s v="TRK52664903"/>
    <n v="9"/>
    <s v="SAVE10"/>
    <x v="2"/>
    <n v="1304.6500000000001"/>
    <x v="5"/>
  </r>
  <r>
    <s v="ORD201001"/>
    <d v="2023-12-08T00:00:00"/>
    <s v="C31371"/>
    <s v="Printer"/>
    <x v="1"/>
    <n v="253.68"/>
    <s v="122 Main St"/>
    <s v="Gift Card"/>
    <s v="Shipped"/>
    <s v="TRK19554327"/>
    <n v="6"/>
    <m/>
    <x v="1"/>
    <n v="507.36"/>
    <x v="8"/>
  </r>
  <r>
    <s v="ORD201002"/>
    <d v="2025-06-19T00:00:00"/>
    <s v="C83911"/>
    <s v="Tablet"/>
    <x v="3"/>
    <n v="699.88"/>
    <s v="944 Main St"/>
    <s v="Cash"/>
    <s v="Pending"/>
    <s v="TRK33188106"/>
    <n v="5"/>
    <s v="WINTER15"/>
    <x v="1"/>
    <n v="2799.52"/>
    <x v="5"/>
  </r>
  <r>
    <s v="ORD201003"/>
    <d v="2023-01-11T00:00:00"/>
    <s v="C84700"/>
    <s v="Printer"/>
    <x v="0"/>
    <n v="319.97000000000003"/>
    <s v="582 Main St"/>
    <s v="Cash"/>
    <s v="Shipped"/>
    <s v="TRK14706969"/>
    <n v="7"/>
    <s v="SAVE10"/>
    <x v="4"/>
    <n v="1599.85"/>
    <x v="0"/>
  </r>
  <r>
    <s v="ORD201004"/>
    <d v="2025-06-09T00:00:00"/>
    <s v="C87529"/>
    <s v="Chair"/>
    <x v="3"/>
    <n v="246.91"/>
    <s v="296 Main St"/>
    <s v="Online"/>
    <s v="Pending"/>
    <s v="TRK15739505"/>
    <n v="8"/>
    <s v="SAVE10"/>
    <x v="1"/>
    <n v="987.64"/>
    <x v="5"/>
  </r>
  <r>
    <s v="ORD201005"/>
    <d v="2023-03-02T00:00:00"/>
    <s v="C38065"/>
    <s v="Printer"/>
    <x v="4"/>
    <n v="392.85"/>
    <s v="426 Main St"/>
    <s v="Credit Card"/>
    <s v="Returned"/>
    <s v="TRK11448295"/>
    <n v="6"/>
    <m/>
    <x v="4"/>
    <n v="1178.55"/>
    <x v="9"/>
  </r>
  <r>
    <s v="ORD201006"/>
    <d v="2024-05-27T00:00:00"/>
    <s v="C27435"/>
    <s v="Tablet"/>
    <x v="0"/>
    <n v="420.98"/>
    <s v="860 Main St"/>
    <s v="Cash"/>
    <s v="Delivered"/>
    <s v="TRK91458233"/>
    <n v="7"/>
    <s v="SAVE10"/>
    <x v="3"/>
    <n v="2104.9"/>
    <x v="4"/>
  </r>
  <r>
    <s v="ORD201007"/>
    <d v="2024-03-20T00:00:00"/>
    <s v="C46651"/>
    <s v="Monitor"/>
    <x v="1"/>
    <n v="73.260000000000005"/>
    <s v="839 Main St"/>
    <s v="Cash"/>
    <s v="Pending"/>
    <s v="TRK60444502"/>
    <n v="4"/>
    <s v="WINTER15"/>
    <x v="3"/>
    <n v="146.52000000000001"/>
    <x v="9"/>
  </r>
  <r>
    <s v="ORD201008"/>
    <d v="2023-01-13T00:00:00"/>
    <s v="C62557"/>
    <s v="Monitor"/>
    <x v="4"/>
    <n v="410.88"/>
    <s v="257 Main St"/>
    <s v="Cash"/>
    <s v="Delivered"/>
    <s v="TRK12742366"/>
    <n v="8"/>
    <s v="FREESHIP"/>
    <x v="0"/>
    <n v="1232.6400000000001"/>
    <x v="0"/>
  </r>
  <r>
    <s v="ORD201009"/>
    <d v="2023-09-02T00:00:00"/>
    <s v="C54494"/>
    <s v="Tablet"/>
    <x v="1"/>
    <n v="176.46"/>
    <s v="696 Main St"/>
    <s v="Credit Card"/>
    <s v="Delivered"/>
    <s v="TRK95958645"/>
    <n v="2"/>
    <s v="FREESHIP"/>
    <x v="2"/>
    <n v="352.92"/>
    <x v="11"/>
  </r>
  <r>
    <s v="ORD201010"/>
    <d v="2023-03-31T00:00:00"/>
    <s v="C33729"/>
    <s v="Monitor"/>
    <x v="4"/>
    <n v="659.57"/>
    <s v="533 Main St"/>
    <s v="Credit Card"/>
    <s v="Cancelled"/>
    <s v="TRK35649833"/>
    <n v="6"/>
    <s v="SAVE10"/>
    <x v="2"/>
    <n v="1978.71"/>
    <x v="9"/>
  </r>
  <r>
    <s v="ORD201011"/>
    <d v="2024-12-03T00:00:00"/>
    <s v="C47823"/>
    <s v="Phone"/>
    <x v="1"/>
    <n v="478.36"/>
    <s v="654 Main St"/>
    <s v="Online"/>
    <s v="Shipped"/>
    <s v="TRK22271097"/>
    <n v="3"/>
    <m/>
    <x v="4"/>
    <n v="956.72"/>
    <x v="8"/>
  </r>
  <r>
    <s v="ORD201012"/>
    <d v="2024-12-03T00:00:00"/>
    <s v="C84570"/>
    <s v="Printer"/>
    <x v="3"/>
    <n v="30.05"/>
    <s v="301 Main St"/>
    <s v="Online"/>
    <s v="Returned"/>
    <s v="TRK12551882"/>
    <n v="6"/>
    <m/>
    <x v="3"/>
    <n v="120.2"/>
    <x v="8"/>
  </r>
  <r>
    <s v="ORD201013"/>
    <d v="2025-04-26T00:00:00"/>
    <s v="C91123"/>
    <s v="Laptop"/>
    <x v="3"/>
    <n v="300.56"/>
    <s v="842 Main St"/>
    <s v="Cash"/>
    <s v="Cancelled"/>
    <s v="TRK49568409"/>
    <n v="9"/>
    <s v="FREESHIP"/>
    <x v="3"/>
    <n v="1202.24"/>
    <x v="6"/>
  </r>
  <r>
    <s v="ORD201014"/>
    <d v="2024-02-04T00:00:00"/>
    <s v="C92548"/>
    <s v="Tablet"/>
    <x v="0"/>
    <n v="226.45"/>
    <s v="160 Main St"/>
    <s v="Debit Card"/>
    <s v="Returned"/>
    <s v="TRK21682892"/>
    <n v="6"/>
    <s v="FREESHIP"/>
    <x v="2"/>
    <n v="1132.25"/>
    <x v="2"/>
  </r>
  <r>
    <s v="ORD201015"/>
    <d v="2024-01-26T00:00:00"/>
    <s v="C97454"/>
    <s v="Printer"/>
    <x v="1"/>
    <n v="349.4"/>
    <s v="892 Main St"/>
    <s v="Online"/>
    <s v="Shipped"/>
    <s v="TRK73249329"/>
    <n v="2"/>
    <s v="SAVE10"/>
    <x v="0"/>
    <n v="698.8"/>
    <x v="0"/>
  </r>
  <r>
    <s v="ORD201016"/>
    <d v="2023-12-29T00:00:00"/>
    <s v="C20257"/>
    <s v="Tablet"/>
    <x v="0"/>
    <n v="268.77999999999997"/>
    <s v="669 Main St"/>
    <s v="Debit Card"/>
    <s v="Delivered"/>
    <s v="TRK62135578"/>
    <n v="7"/>
    <s v="WINTER15"/>
    <x v="2"/>
    <n v="1343.9"/>
    <x v="8"/>
  </r>
  <r>
    <s v="ORD201017"/>
    <d v="2024-08-25T00:00:00"/>
    <s v="C51694"/>
    <s v="Chair"/>
    <x v="1"/>
    <n v="680.85"/>
    <s v="953 Main St"/>
    <s v="Gift Card"/>
    <s v="Delivered"/>
    <s v="TRK83122112"/>
    <n v="6"/>
    <s v="FREESHIP"/>
    <x v="1"/>
    <n v="1361.7"/>
    <x v="1"/>
  </r>
  <r>
    <s v="ORD201018"/>
    <d v="2023-07-08T00:00:00"/>
    <s v="C77499"/>
    <s v="Laptop"/>
    <x v="4"/>
    <n v="182.48"/>
    <s v="209 Main St"/>
    <s v="Cash"/>
    <s v="Delivered"/>
    <s v="TRK20703086"/>
    <n v="3"/>
    <m/>
    <x v="0"/>
    <n v="547.43999999999994"/>
    <x v="10"/>
  </r>
  <r>
    <s v="ORD201019"/>
    <d v="2024-04-06T00:00:00"/>
    <s v="C28386"/>
    <s v="Desk"/>
    <x v="2"/>
    <n v="277.08999999999997"/>
    <s v="293 Main St"/>
    <s v="Cash"/>
    <s v="Returned"/>
    <s v="TRK32954229"/>
    <n v="2"/>
    <s v="SAVE10"/>
    <x v="1"/>
    <n v="277.08999999999997"/>
    <x v="6"/>
  </r>
  <r>
    <s v="ORD201020"/>
    <d v="2024-04-22T00:00:00"/>
    <s v="C50211"/>
    <s v="Tablet"/>
    <x v="1"/>
    <n v="26.5"/>
    <s v="312 Main St"/>
    <s v="Online"/>
    <s v="Delivered"/>
    <s v="TRK47787981"/>
    <n v="3"/>
    <s v="SAVE10"/>
    <x v="0"/>
    <n v="53"/>
    <x v="6"/>
  </r>
  <r>
    <s v="ORD201021"/>
    <d v="2023-10-23T00:00:00"/>
    <s v="C74519"/>
    <s v="Phone"/>
    <x v="4"/>
    <n v="315.27"/>
    <s v="309 Main St"/>
    <s v="Credit Card"/>
    <s v="Cancelled"/>
    <s v="TRK97351945"/>
    <n v="4"/>
    <s v="SAVE10"/>
    <x v="2"/>
    <n v="945.81"/>
    <x v="3"/>
  </r>
  <r>
    <s v="ORD201022"/>
    <d v="2025-02-24T00:00:00"/>
    <s v="C19071"/>
    <s v="Tablet"/>
    <x v="4"/>
    <n v="450.98"/>
    <s v="396 Main St"/>
    <s v="Credit Card"/>
    <s v="Shipped"/>
    <s v="TRK66537096"/>
    <n v="8"/>
    <s v="SAVE10"/>
    <x v="1"/>
    <n v="1352.94"/>
    <x v="2"/>
  </r>
  <r>
    <s v="ORD201023"/>
    <d v="2024-09-23T00:00:00"/>
    <s v="C65251"/>
    <s v="Laptop"/>
    <x v="0"/>
    <n v="233.67"/>
    <s v="291 Main St"/>
    <s v="Cash"/>
    <s v="Shipped"/>
    <s v="TRK32059025"/>
    <n v="10"/>
    <m/>
    <x v="1"/>
    <n v="1168.3499999999999"/>
    <x v="11"/>
  </r>
  <r>
    <s v="ORD201024"/>
    <d v="2024-01-29T00:00:00"/>
    <s v="C90612"/>
    <s v="Chair"/>
    <x v="4"/>
    <n v="367.75"/>
    <s v="731 Main St"/>
    <s v="Cash"/>
    <s v="Pending"/>
    <s v="TRK93022878"/>
    <n v="7"/>
    <s v="FREESHIP"/>
    <x v="3"/>
    <n v="1103.25"/>
    <x v="0"/>
  </r>
  <r>
    <s v="ORD201025"/>
    <d v="2025-05-17T00:00:00"/>
    <s v="C28406"/>
    <s v="Chair"/>
    <x v="2"/>
    <n v="23.53"/>
    <s v="174 Main St"/>
    <s v="Gift Card"/>
    <s v="Delivered"/>
    <s v="TRK98841457"/>
    <n v="2"/>
    <s v="FREESHIP"/>
    <x v="0"/>
    <n v="23.53"/>
    <x v="4"/>
  </r>
  <r>
    <s v="ORD201026"/>
    <d v="2023-05-01T00:00:00"/>
    <s v="C55454"/>
    <s v="Monitor"/>
    <x v="2"/>
    <n v="677.48"/>
    <s v="807 Main St"/>
    <s v="Online"/>
    <s v="Delivered"/>
    <s v="TRK13281370"/>
    <n v="1"/>
    <s v="WINTER15"/>
    <x v="3"/>
    <n v="677.48"/>
    <x v="4"/>
  </r>
  <r>
    <s v="ORD201027"/>
    <d v="2024-05-21T00:00:00"/>
    <s v="C93467"/>
    <s v="Laptop"/>
    <x v="3"/>
    <n v="554.83000000000004"/>
    <s v="983 Main St"/>
    <s v="Cash"/>
    <s v="Returned"/>
    <s v="TRK77377373"/>
    <n v="6"/>
    <m/>
    <x v="4"/>
    <n v="2219.3200000000002"/>
    <x v="4"/>
  </r>
  <r>
    <s v="ORD201028"/>
    <d v="2023-02-17T00:00:00"/>
    <s v="C60042"/>
    <s v="Desk"/>
    <x v="3"/>
    <n v="440.31"/>
    <s v="610 Main St"/>
    <s v="Cash"/>
    <s v="Cancelled"/>
    <s v="TRK84651559"/>
    <n v="6"/>
    <m/>
    <x v="0"/>
    <n v="1761.24"/>
    <x v="2"/>
  </r>
  <r>
    <s v="ORD201029"/>
    <d v="2025-03-01T00:00:00"/>
    <s v="C44733"/>
    <s v="Desk"/>
    <x v="2"/>
    <n v="87.06"/>
    <s v="851 Main St"/>
    <s v="Credit Card"/>
    <s v="Shipped"/>
    <s v="TRK41500198"/>
    <n v="4"/>
    <s v="FREESHIP"/>
    <x v="2"/>
    <n v="87.06"/>
    <x v="9"/>
  </r>
  <r>
    <s v="ORD201030"/>
    <d v="2023-10-02T00:00:00"/>
    <s v="C61773"/>
    <s v="Phone"/>
    <x v="3"/>
    <n v="245.28"/>
    <s v="176 Main St"/>
    <s v="Credit Card"/>
    <s v="Delivered"/>
    <s v="TRK12936357"/>
    <n v="6"/>
    <s v="WINTER15"/>
    <x v="2"/>
    <n v="981.12"/>
    <x v="3"/>
  </r>
  <r>
    <s v="ORD201031"/>
    <d v="2023-02-28T00:00:00"/>
    <s v="C59183"/>
    <s v="Phone"/>
    <x v="0"/>
    <n v="664.51"/>
    <s v="136 Main St"/>
    <s v="Debit Card"/>
    <s v="Pending"/>
    <s v="TRK18129706"/>
    <n v="8"/>
    <s v="SAVE10"/>
    <x v="2"/>
    <n v="3322.55"/>
    <x v="2"/>
  </r>
  <r>
    <s v="ORD201032"/>
    <d v="2023-04-20T00:00:00"/>
    <s v="C26188"/>
    <s v="Chair"/>
    <x v="2"/>
    <n v="618.67999999999995"/>
    <s v="990 Main St"/>
    <s v="Online"/>
    <s v="Delivered"/>
    <s v="TRK61634201"/>
    <n v="6"/>
    <s v="WINTER15"/>
    <x v="1"/>
    <n v="618.67999999999995"/>
    <x v="6"/>
  </r>
  <r>
    <s v="ORD201033"/>
    <d v="2024-12-24T00:00:00"/>
    <s v="C20338"/>
    <s v="Monitor"/>
    <x v="2"/>
    <n v="370.85"/>
    <s v="331 Main St"/>
    <s v="Gift Card"/>
    <s v="Delivered"/>
    <s v="TRK30654048"/>
    <n v="2"/>
    <s v="FREESHIP"/>
    <x v="1"/>
    <n v="370.85"/>
    <x v="8"/>
  </r>
  <r>
    <s v="ORD201034"/>
    <d v="2024-06-16T00:00:00"/>
    <s v="C84524"/>
    <s v="Printer"/>
    <x v="3"/>
    <n v="517.98"/>
    <s v="766 Main St"/>
    <s v="Cash"/>
    <s v="Cancelled"/>
    <s v="TRK76751888"/>
    <n v="8"/>
    <s v="FREESHIP"/>
    <x v="3"/>
    <n v="2071.92"/>
    <x v="5"/>
  </r>
  <r>
    <s v="ORD201035"/>
    <d v="2023-11-12T00:00:00"/>
    <s v="C70315"/>
    <s v="Laptop"/>
    <x v="3"/>
    <n v="506.11"/>
    <s v="911 Main St"/>
    <s v="Cash"/>
    <s v="Cancelled"/>
    <s v="TRK97732085"/>
    <n v="5"/>
    <m/>
    <x v="1"/>
    <n v="2024.44"/>
    <x v="7"/>
  </r>
  <r>
    <s v="ORD201036"/>
    <d v="2024-05-31T00:00:00"/>
    <s v="C98278"/>
    <s v="Phone"/>
    <x v="4"/>
    <n v="413.83"/>
    <s v="552 Main St"/>
    <s v="Gift Card"/>
    <s v="Shipped"/>
    <s v="TRK49684737"/>
    <n v="8"/>
    <s v="SAVE10"/>
    <x v="3"/>
    <n v="1241.49"/>
    <x v="4"/>
  </r>
  <r>
    <s v="ORD201037"/>
    <d v="2023-12-13T00:00:00"/>
    <s v="C32347"/>
    <s v="Printer"/>
    <x v="2"/>
    <n v="249.81"/>
    <s v="408 Main St"/>
    <s v="Cash"/>
    <s v="Pending"/>
    <s v="TRK54073964"/>
    <n v="1"/>
    <s v="SAVE10"/>
    <x v="4"/>
    <n v="249.81"/>
    <x v="8"/>
  </r>
  <r>
    <s v="ORD201038"/>
    <d v="2025-03-15T00:00:00"/>
    <s v="C77961"/>
    <s v="Tablet"/>
    <x v="4"/>
    <n v="362.53"/>
    <s v="422 Main St"/>
    <s v="Debit Card"/>
    <s v="Returned"/>
    <s v="TRK28969024"/>
    <n v="5"/>
    <m/>
    <x v="3"/>
    <n v="1087.5899999999999"/>
    <x v="9"/>
  </r>
  <r>
    <s v="ORD201039"/>
    <d v="2025-06-28T00:00:00"/>
    <s v="C49137"/>
    <s v="Desk"/>
    <x v="1"/>
    <n v="299.23"/>
    <s v="177 Main St"/>
    <s v="Credit Card"/>
    <s v="Cancelled"/>
    <s v="TRK79362428"/>
    <n v="2"/>
    <s v="WINTER15"/>
    <x v="0"/>
    <n v="598.46"/>
    <x v="5"/>
  </r>
  <r>
    <s v="ORD201040"/>
    <d v="2023-11-15T00:00:00"/>
    <s v="C13169"/>
    <s v="Tablet"/>
    <x v="2"/>
    <n v="536.07000000000005"/>
    <s v="932 Main St"/>
    <s v="Debit Card"/>
    <s v="Delivered"/>
    <s v="TRK66288666"/>
    <n v="5"/>
    <s v="FREESHIP"/>
    <x v="4"/>
    <n v="536.07000000000005"/>
    <x v="7"/>
  </r>
  <r>
    <s v="ORD201041"/>
    <d v="2023-02-11T00:00:00"/>
    <s v="C21167"/>
    <s v="Monitor"/>
    <x v="3"/>
    <n v="558.9"/>
    <s v="948 Main St"/>
    <s v="Gift Card"/>
    <s v="Shipped"/>
    <s v="TRK97737564"/>
    <n v="9"/>
    <s v="WINTER15"/>
    <x v="4"/>
    <n v="2235.6"/>
    <x v="2"/>
  </r>
  <r>
    <s v="ORD201042"/>
    <d v="2024-12-09T00:00:00"/>
    <s v="C59724"/>
    <s v="Tablet"/>
    <x v="1"/>
    <n v="409.75"/>
    <s v="414 Main St"/>
    <s v="Debit Card"/>
    <s v="Shipped"/>
    <s v="TRK67878272"/>
    <n v="2"/>
    <s v="WINTER15"/>
    <x v="3"/>
    <n v="819.5"/>
    <x v="8"/>
  </r>
  <r>
    <s v="ORD201043"/>
    <d v="2025-01-11T00:00:00"/>
    <s v="C43965"/>
    <s v="Tablet"/>
    <x v="1"/>
    <n v="179.96"/>
    <s v="675 Main St"/>
    <s v="Gift Card"/>
    <s v="Shipped"/>
    <s v="TRK94346739"/>
    <n v="5"/>
    <m/>
    <x v="0"/>
    <n v="359.92"/>
    <x v="0"/>
  </r>
  <r>
    <s v="ORD201044"/>
    <d v="2025-06-22T00:00:00"/>
    <s v="C63018"/>
    <s v="Printer"/>
    <x v="2"/>
    <n v="38.49"/>
    <s v="215 Main St"/>
    <s v="Credit Card"/>
    <s v="Delivered"/>
    <s v="TRK52335337"/>
    <n v="4"/>
    <s v="FREESHIP"/>
    <x v="1"/>
    <n v="38.49"/>
    <x v="5"/>
  </r>
  <r>
    <s v="ORD201045"/>
    <d v="2024-09-20T00:00:00"/>
    <s v="C11893"/>
    <s v="Laptop"/>
    <x v="0"/>
    <n v="316.39999999999998"/>
    <s v="671 Main St"/>
    <s v="Gift Card"/>
    <s v="Returned"/>
    <s v="TRK72012758"/>
    <n v="7"/>
    <m/>
    <x v="2"/>
    <n v="1582"/>
    <x v="11"/>
  </r>
  <r>
    <s v="ORD201046"/>
    <d v="2024-10-07T00:00:00"/>
    <s v="C85421"/>
    <s v="Tablet"/>
    <x v="4"/>
    <n v="547.15"/>
    <s v="466 Main St"/>
    <s v="Online"/>
    <s v="Shipped"/>
    <s v="TRK16524006"/>
    <n v="4"/>
    <s v="WINTER15"/>
    <x v="0"/>
    <n v="1641.45"/>
    <x v="3"/>
  </r>
  <r>
    <s v="ORD201047"/>
    <d v="2023-06-23T00:00:00"/>
    <s v="C81726"/>
    <s v="Chair"/>
    <x v="3"/>
    <n v="540.34"/>
    <s v="394 Main St"/>
    <s v="Gift Card"/>
    <s v="Shipped"/>
    <s v="TRK69872994"/>
    <n v="6"/>
    <s v="WINTER15"/>
    <x v="1"/>
    <n v="2161.36"/>
    <x v="5"/>
  </r>
  <r>
    <s v="ORD201048"/>
    <d v="2024-09-09T00:00:00"/>
    <s v="C57601"/>
    <s v="Monitor"/>
    <x v="3"/>
    <n v="73.650000000000006"/>
    <s v="889 Main St"/>
    <s v="Debit Card"/>
    <s v="Shipped"/>
    <s v="TRK21153699"/>
    <n v="9"/>
    <m/>
    <x v="4"/>
    <n v="294.60000000000002"/>
    <x v="11"/>
  </r>
  <r>
    <s v="ORD201049"/>
    <d v="2024-07-18T00:00:00"/>
    <s v="C60575"/>
    <s v="Desk"/>
    <x v="0"/>
    <n v="391.86"/>
    <s v="587 Main St"/>
    <s v="Credit Card"/>
    <s v="Shipped"/>
    <s v="TRK44468232"/>
    <n v="6"/>
    <m/>
    <x v="0"/>
    <n v="1959.3"/>
    <x v="10"/>
  </r>
  <r>
    <s v="ORD201050"/>
    <d v="2023-08-20T00:00:00"/>
    <s v="C70659"/>
    <s v="Laptop"/>
    <x v="0"/>
    <n v="69.7"/>
    <s v="722 Main St"/>
    <s v="Online"/>
    <s v="Returned"/>
    <s v="TRK49663597"/>
    <n v="9"/>
    <m/>
    <x v="0"/>
    <n v="348.5"/>
    <x v="1"/>
  </r>
  <r>
    <s v="ORD201051"/>
    <d v="2025-03-05T00:00:00"/>
    <s v="C35043"/>
    <s v="Monitor"/>
    <x v="0"/>
    <n v="26.43"/>
    <s v="820 Main St"/>
    <s v="Gift Card"/>
    <s v="Shipped"/>
    <s v="TRK65097450"/>
    <n v="5"/>
    <s v="FREESHIP"/>
    <x v="3"/>
    <n v="132.15"/>
    <x v="9"/>
  </r>
  <r>
    <s v="ORD201052"/>
    <d v="2023-09-11T00:00:00"/>
    <s v="C12301"/>
    <s v="Tablet"/>
    <x v="2"/>
    <n v="531.74"/>
    <s v="493 Main St"/>
    <s v="Online"/>
    <s v="Shipped"/>
    <s v="TRK25145796"/>
    <n v="1"/>
    <s v="WINTER15"/>
    <x v="4"/>
    <n v="531.74"/>
    <x v="11"/>
  </r>
  <r>
    <s v="ORD201053"/>
    <d v="2024-09-15T00:00:00"/>
    <s v="C32798"/>
    <s v="Phone"/>
    <x v="1"/>
    <n v="496.62"/>
    <s v="679 Main St"/>
    <s v="Online"/>
    <s v="Pending"/>
    <s v="TRK37375451"/>
    <n v="2"/>
    <s v="SAVE10"/>
    <x v="0"/>
    <n v="993.24"/>
    <x v="11"/>
  </r>
  <r>
    <s v="ORD201054"/>
    <d v="2023-11-29T00:00:00"/>
    <s v="C42949"/>
    <s v="Printer"/>
    <x v="2"/>
    <n v="660.66"/>
    <s v="447 Main St"/>
    <s v="Debit Card"/>
    <s v="Delivered"/>
    <s v="TRK46415143"/>
    <n v="3"/>
    <s v="WINTER15"/>
    <x v="0"/>
    <n v="660.66"/>
    <x v="7"/>
  </r>
  <r>
    <s v="ORD201055"/>
    <d v="2023-10-23T00:00:00"/>
    <s v="C10787"/>
    <s v="Monitor"/>
    <x v="3"/>
    <n v="274.82"/>
    <s v="932 Main St"/>
    <s v="Debit Card"/>
    <s v="Delivered"/>
    <s v="TRK91512567"/>
    <n v="9"/>
    <s v="WINTER15"/>
    <x v="2"/>
    <n v="1099.28"/>
    <x v="3"/>
  </r>
  <r>
    <s v="ORD201056"/>
    <d v="2024-06-14T00:00:00"/>
    <s v="C26152"/>
    <s v="Phone"/>
    <x v="1"/>
    <n v="486.35"/>
    <s v="790 Main St"/>
    <s v="Online"/>
    <s v="Pending"/>
    <s v="TRK49382455"/>
    <n v="6"/>
    <s v="SAVE10"/>
    <x v="1"/>
    <n v="972.7"/>
    <x v="5"/>
  </r>
  <r>
    <s v="ORD201057"/>
    <d v="2024-09-24T00:00:00"/>
    <s v="C46210"/>
    <s v="Laptop"/>
    <x v="4"/>
    <n v="428.88"/>
    <s v="535 Main St"/>
    <s v="Debit Card"/>
    <s v="Shipped"/>
    <s v="TRK81611937"/>
    <n v="3"/>
    <s v="WINTER15"/>
    <x v="3"/>
    <n v="1286.6400000000001"/>
    <x v="11"/>
  </r>
  <r>
    <s v="ORD201058"/>
    <d v="2023-09-08T00:00:00"/>
    <s v="C32943"/>
    <s v="Desk"/>
    <x v="1"/>
    <n v="412.14"/>
    <s v="127 Main St"/>
    <s v="Credit Card"/>
    <s v="Returned"/>
    <s v="TRK26949106"/>
    <n v="2"/>
    <s v="FREESHIP"/>
    <x v="0"/>
    <n v="824.28"/>
    <x v="11"/>
  </r>
  <r>
    <s v="ORD201059"/>
    <d v="2024-09-22T00:00:00"/>
    <s v="C73629"/>
    <s v="Desk"/>
    <x v="2"/>
    <n v="265.64"/>
    <s v="601 Main St"/>
    <s v="Credit Card"/>
    <s v="Returned"/>
    <s v="TRK11492924"/>
    <n v="3"/>
    <s v="WINTER15"/>
    <x v="0"/>
    <n v="265.64"/>
    <x v="11"/>
  </r>
  <r>
    <s v="ORD201060"/>
    <d v="2024-05-07T00:00:00"/>
    <s v="C38024"/>
    <s v="Tablet"/>
    <x v="1"/>
    <n v="273.43"/>
    <s v="824 Main St"/>
    <s v="Cash"/>
    <s v="Shipped"/>
    <s v="TRK93370912"/>
    <n v="7"/>
    <s v="WINTER15"/>
    <x v="1"/>
    <n v="546.86"/>
    <x v="4"/>
  </r>
  <r>
    <s v="ORD201061"/>
    <d v="2025-01-29T00:00:00"/>
    <s v="C25445"/>
    <s v="Laptop"/>
    <x v="0"/>
    <n v="131.69999999999999"/>
    <s v="830 Main St"/>
    <s v="Cash"/>
    <s v="Shipped"/>
    <s v="TRK12402431"/>
    <n v="8"/>
    <s v="FREESHIP"/>
    <x v="4"/>
    <n v="658.5"/>
    <x v="0"/>
  </r>
  <r>
    <s v="ORD201062"/>
    <d v="2023-08-23T00:00:00"/>
    <s v="C13501"/>
    <s v="Chair"/>
    <x v="0"/>
    <n v="85.52"/>
    <s v="301 Main St"/>
    <s v="Gift Card"/>
    <s v="Cancelled"/>
    <s v="TRK65149372"/>
    <n v="5"/>
    <m/>
    <x v="3"/>
    <n v="427.6"/>
    <x v="1"/>
  </r>
  <r>
    <s v="ORD201063"/>
    <d v="2024-06-19T00:00:00"/>
    <s v="C42108"/>
    <s v="Desk"/>
    <x v="1"/>
    <n v="320.68"/>
    <s v="336 Main St"/>
    <s v="Credit Card"/>
    <s v="Shipped"/>
    <s v="TRK58407918"/>
    <n v="5"/>
    <s v="FREESHIP"/>
    <x v="1"/>
    <n v="641.36"/>
    <x v="5"/>
  </r>
  <r>
    <s v="ORD201064"/>
    <d v="2025-02-12T00:00:00"/>
    <s v="C32121"/>
    <s v="Laptop"/>
    <x v="3"/>
    <n v="198.81"/>
    <s v="654 Main St"/>
    <s v="Cash"/>
    <s v="Returned"/>
    <s v="TRK96074264"/>
    <n v="9"/>
    <s v="FREESHIP"/>
    <x v="1"/>
    <n v="795.24"/>
    <x v="2"/>
  </r>
  <r>
    <s v="ORD201065"/>
    <d v="2023-10-30T00:00:00"/>
    <s v="C47778"/>
    <s v="Printer"/>
    <x v="0"/>
    <n v="666.8"/>
    <s v="488 Main St"/>
    <s v="Debit Card"/>
    <s v="Delivered"/>
    <s v="TRK79504329"/>
    <n v="7"/>
    <s v="SAVE10"/>
    <x v="1"/>
    <n v="3334"/>
    <x v="3"/>
  </r>
  <r>
    <s v="ORD201066"/>
    <d v="2023-12-20T00:00:00"/>
    <s v="C10791"/>
    <s v="Desk"/>
    <x v="2"/>
    <n v="355.09"/>
    <s v="674 Main St"/>
    <s v="Debit Card"/>
    <s v="Cancelled"/>
    <s v="TRK20321248"/>
    <n v="5"/>
    <s v="SAVE10"/>
    <x v="0"/>
    <n v="355.09"/>
    <x v="8"/>
  </r>
  <r>
    <s v="ORD201067"/>
    <d v="2023-06-06T00:00:00"/>
    <s v="C78959"/>
    <s v="Phone"/>
    <x v="1"/>
    <n v="316.2"/>
    <s v="384 Main St"/>
    <s v="Online"/>
    <s v="Returned"/>
    <s v="TRK37426359"/>
    <n v="2"/>
    <m/>
    <x v="0"/>
    <n v="632.4"/>
    <x v="5"/>
  </r>
  <r>
    <s v="ORD201068"/>
    <d v="2024-08-03T00:00:00"/>
    <s v="C29914"/>
    <s v="Laptop"/>
    <x v="2"/>
    <n v="133.38999999999999"/>
    <s v="469 Main St"/>
    <s v="Debit Card"/>
    <s v="Shipped"/>
    <s v="TRK22073506"/>
    <n v="2"/>
    <s v="SAVE10"/>
    <x v="1"/>
    <n v="133.38999999999999"/>
    <x v="1"/>
  </r>
  <r>
    <s v="ORD201069"/>
    <d v="2023-02-25T00:00:00"/>
    <s v="C70506"/>
    <s v="Monitor"/>
    <x v="2"/>
    <n v="454.23"/>
    <s v="255 Main St"/>
    <s v="Gift Card"/>
    <s v="Returned"/>
    <s v="TRK12518384"/>
    <n v="3"/>
    <m/>
    <x v="3"/>
    <n v="454.23"/>
    <x v="2"/>
  </r>
  <r>
    <s v="ORD201070"/>
    <d v="2024-09-06T00:00:00"/>
    <s v="C46873"/>
    <s v="Desk"/>
    <x v="3"/>
    <n v="491.29"/>
    <s v="496 Main St"/>
    <s v="Debit Card"/>
    <s v="Pending"/>
    <s v="TRK10926575"/>
    <n v="6"/>
    <m/>
    <x v="2"/>
    <n v="1965.16"/>
    <x v="11"/>
  </r>
  <r>
    <s v="ORD201071"/>
    <d v="2025-06-24T00:00:00"/>
    <s v="C94037"/>
    <s v="Phone"/>
    <x v="1"/>
    <n v="255.14"/>
    <s v="216 Main St"/>
    <s v="Cash"/>
    <s v="Shipped"/>
    <s v="TRK47536985"/>
    <n v="2"/>
    <m/>
    <x v="4"/>
    <n v="510.28"/>
    <x v="5"/>
  </r>
  <r>
    <s v="ORD201072"/>
    <d v="2023-02-26T00:00:00"/>
    <s v="C88644"/>
    <s v="Monitor"/>
    <x v="2"/>
    <n v="392.61"/>
    <s v="977 Main St"/>
    <s v="Gift Card"/>
    <s v="Cancelled"/>
    <s v="TRK14900878"/>
    <n v="4"/>
    <s v="SAVE10"/>
    <x v="1"/>
    <n v="392.61"/>
    <x v="2"/>
  </r>
  <r>
    <s v="ORD201073"/>
    <d v="2024-10-11T00:00:00"/>
    <s v="C69471"/>
    <s v="Tablet"/>
    <x v="3"/>
    <n v="362.06"/>
    <s v="294 Main St"/>
    <s v="Debit Card"/>
    <s v="Returned"/>
    <s v="TRK11107152"/>
    <n v="4"/>
    <m/>
    <x v="3"/>
    <n v="1448.24"/>
    <x v="3"/>
  </r>
  <r>
    <s v="ORD201074"/>
    <d v="2024-05-10T00:00:00"/>
    <s v="C21437"/>
    <s v="Phone"/>
    <x v="2"/>
    <n v="222.73"/>
    <s v="120 Main St"/>
    <s v="Online"/>
    <s v="Returned"/>
    <s v="TRK81624772"/>
    <n v="4"/>
    <m/>
    <x v="4"/>
    <n v="222.73"/>
    <x v="4"/>
  </r>
  <r>
    <s v="ORD201075"/>
    <d v="2024-08-31T00:00:00"/>
    <s v="C40949"/>
    <s v="Monitor"/>
    <x v="1"/>
    <n v="552.63"/>
    <s v="609 Main St"/>
    <s v="Debit Card"/>
    <s v="Delivered"/>
    <s v="TRK43066749"/>
    <n v="7"/>
    <s v="WINTER15"/>
    <x v="0"/>
    <n v="1105.26"/>
    <x v="1"/>
  </r>
  <r>
    <s v="ORD201076"/>
    <d v="2023-05-08T00:00:00"/>
    <s v="C99116"/>
    <s v="Laptop"/>
    <x v="3"/>
    <n v="686.61"/>
    <s v="176 Main St"/>
    <s v="Cash"/>
    <s v="Shipped"/>
    <s v="TRK52711973"/>
    <n v="6"/>
    <m/>
    <x v="1"/>
    <n v="2746.44"/>
    <x v="4"/>
  </r>
  <r>
    <s v="ORD201077"/>
    <d v="2025-03-07T00:00:00"/>
    <s v="C57861"/>
    <s v="Printer"/>
    <x v="4"/>
    <n v="305.16000000000003"/>
    <s v="115 Main St"/>
    <s v="Credit Card"/>
    <s v="Cancelled"/>
    <s v="TRK47775217"/>
    <n v="8"/>
    <s v="SAVE10"/>
    <x v="1"/>
    <n v="915.48"/>
    <x v="9"/>
  </r>
  <r>
    <s v="ORD201078"/>
    <d v="2023-03-18T00:00:00"/>
    <s v="C62627"/>
    <s v="Desk"/>
    <x v="2"/>
    <n v="41.09"/>
    <s v="881 Main St"/>
    <s v="Online"/>
    <s v="Returned"/>
    <s v="TRK90060232"/>
    <n v="4"/>
    <s v="WINTER15"/>
    <x v="2"/>
    <n v="41.09"/>
    <x v="9"/>
  </r>
  <r>
    <s v="ORD201079"/>
    <d v="2024-06-20T00:00:00"/>
    <s v="C89979"/>
    <s v="Phone"/>
    <x v="0"/>
    <n v="634"/>
    <s v="144 Main St"/>
    <s v="Gift Card"/>
    <s v="Delivered"/>
    <s v="TRK99055909"/>
    <n v="8"/>
    <m/>
    <x v="2"/>
    <n v="3170"/>
    <x v="5"/>
  </r>
  <r>
    <s v="ORD201080"/>
    <d v="2023-01-20T00:00:00"/>
    <s v="C70613"/>
    <s v="Laptop"/>
    <x v="0"/>
    <n v="464.74"/>
    <s v="438 Main St"/>
    <s v="Gift Card"/>
    <s v="Delivered"/>
    <s v="TRK33140293"/>
    <n v="7"/>
    <m/>
    <x v="1"/>
    <n v="2323.6999999999998"/>
    <x v="0"/>
  </r>
  <r>
    <s v="ORD201081"/>
    <d v="2023-04-21T00:00:00"/>
    <s v="C55636"/>
    <s v="Monitor"/>
    <x v="3"/>
    <n v="425.6"/>
    <s v="494 Main St"/>
    <s v="Credit Card"/>
    <s v="Pending"/>
    <s v="TRK85897054"/>
    <n v="5"/>
    <s v="FREESHIP"/>
    <x v="4"/>
    <n v="1702.4"/>
    <x v="6"/>
  </r>
  <r>
    <s v="ORD201082"/>
    <d v="2023-10-06T00:00:00"/>
    <s v="C96595"/>
    <s v="Chair"/>
    <x v="4"/>
    <n v="573.22"/>
    <s v="177 Main St"/>
    <s v="Debit Card"/>
    <s v="Pending"/>
    <s v="TRK59779174"/>
    <n v="5"/>
    <s v="SAVE10"/>
    <x v="2"/>
    <n v="1719.66"/>
    <x v="3"/>
  </r>
  <r>
    <s v="ORD201083"/>
    <d v="2024-07-09T00:00:00"/>
    <s v="C68508"/>
    <s v="Chair"/>
    <x v="2"/>
    <n v="123.28"/>
    <s v="895 Main St"/>
    <s v="Credit Card"/>
    <s v="Delivered"/>
    <s v="TRK98960285"/>
    <n v="3"/>
    <s v="SAVE10"/>
    <x v="2"/>
    <n v="123.28"/>
    <x v="10"/>
  </r>
  <r>
    <s v="ORD201084"/>
    <d v="2023-01-08T00:00:00"/>
    <s v="C45175"/>
    <s v="Phone"/>
    <x v="2"/>
    <n v="70.819999999999993"/>
    <s v="128 Main St"/>
    <s v="Gift Card"/>
    <s v="Pending"/>
    <s v="TRK41792296"/>
    <n v="1"/>
    <s v="WINTER15"/>
    <x v="0"/>
    <n v="70.819999999999993"/>
    <x v="0"/>
  </r>
  <r>
    <s v="ORD201085"/>
    <d v="2023-05-21T00:00:00"/>
    <s v="C28049"/>
    <s v="Printer"/>
    <x v="1"/>
    <n v="646.69000000000005"/>
    <s v="404 Main St"/>
    <s v="Debit Card"/>
    <s v="Shipped"/>
    <s v="TRK91426444"/>
    <n v="7"/>
    <s v="WINTER15"/>
    <x v="0"/>
    <n v="1293.3800000000001"/>
    <x v="4"/>
  </r>
  <r>
    <s v="ORD201086"/>
    <d v="2023-12-23T00:00:00"/>
    <s v="C46967"/>
    <s v="Tablet"/>
    <x v="1"/>
    <n v="513.41999999999996"/>
    <s v="401 Main St"/>
    <s v="Online"/>
    <s v="Pending"/>
    <s v="TRK91439791"/>
    <n v="5"/>
    <s v="WINTER15"/>
    <x v="0"/>
    <n v="1026.8399999999999"/>
    <x v="8"/>
  </r>
  <r>
    <s v="ORD201087"/>
    <d v="2025-03-23T00:00:00"/>
    <s v="C84134"/>
    <s v="Laptop"/>
    <x v="3"/>
    <n v="693.07"/>
    <s v="530 Main St"/>
    <s v="Online"/>
    <s v="Shipped"/>
    <s v="TRK48659380"/>
    <n v="8"/>
    <s v="SAVE10"/>
    <x v="0"/>
    <n v="2772.28"/>
    <x v="9"/>
  </r>
  <r>
    <s v="ORD201088"/>
    <d v="2023-11-30T00:00:00"/>
    <s v="C49831"/>
    <s v="Desk"/>
    <x v="4"/>
    <n v="491.43"/>
    <s v="213 Main St"/>
    <s v="Gift Card"/>
    <s v="Shipped"/>
    <s v="TRK21232601"/>
    <n v="6"/>
    <s v="WINTER15"/>
    <x v="0"/>
    <n v="1474.29"/>
    <x v="7"/>
  </r>
  <r>
    <s v="ORD201089"/>
    <d v="2025-03-15T00:00:00"/>
    <s v="C13324"/>
    <s v="Tablet"/>
    <x v="1"/>
    <n v="599.74"/>
    <s v="440 Main St"/>
    <s v="Gift Card"/>
    <s v="Shipped"/>
    <s v="TRK66967997"/>
    <n v="2"/>
    <m/>
    <x v="0"/>
    <n v="1199.48"/>
    <x v="9"/>
  </r>
  <r>
    <s v="ORD201090"/>
    <d v="2023-02-25T00:00:00"/>
    <s v="C61225"/>
    <s v="Monitor"/>
    <x v="1"/>
    <n v="650.25"/>
    <s v="996 Main St"/>
    <s v="Gift Card"/>
    <s v="Returned"/>
    <s v="TRK37022954"/>
    <n v="6"/>
    <m/>
    <x v="0"/>
    <n v="1300.5"/>
    <x v="2"/>
  </r>
  <r>
    <s v="ORD201091"/>
    <d v="2024-10-08T00:00:00"/>
    <s v="C16400"/>
    <s v="Laptop"/>
    <x v="4"/>
    <n v="209.48"/>
    <s v="123 Main St"/>
    <s v="Debit Card"/>
    <s v="Pending"/>
    <s v="TRK57771859"/>
    <n v="4"/>
    <m/>
    <x v="2"/>
    <n v="628.43999999999994"/>
    <x v="3"/>
  </r>
  <r>
    <s v="ORD201092"/>
    <d v="2023-08-21T00:00:00"/>
    <s v="C38642"/>
    <s v="Laptop"/>
    <x v="0"/>
    <n v="209.2"/>
    <s v="930 Main St"/>
    <s v="Debit Card"/>
    <s v="Delivered"/>
    <s v="TRK47744396"/>
    <n v="6"/>
    <s v="WINTER15"/>
    <x v="2"/>
    <n v="1046"/>
    <x v="1"/>
  </r>
  <r>
    <s v="ORD201093"/>
    <d v="2023-06-09T00:00:00"/>
    <s v="C86773"/>
    <s v="Phone"/>
    <x v="3"/>
    <n v="197.36"/>
    <s v="557 Main St"/>
    <s v="Gift Card"/>
    <s v="Returned"/>
    <s v="TRK22612240"/>
    <n v="9"/>
    <s v="FREESHIP"/>
    <x v="0"/>
    <n v="789.44"/>
    <x v="5"/>
  </r>
  <r>
    <s v="ORD201094"/>
    <d v="2023-06-28T00:00:00"/>
    <s v="C66093"/>
    <s v="Printer"/>
    <x v="3"/>
    <n v="648.91"/>
    <s v="615 Main St"/>
    <s v="Credit Card"/>
    <s v="Shipped"/>
    <s v="TRK54950785"/>
    <n v="6"/>
    <s v="SAVE10"/>
    <x v="0"/>
    <n v="2595.64"/>
    <x v="5"/>
  </r>
  <r>
    <s v="ORD201095"/>
    <d v="2024-04-23T00:00:00"/>
    <s v="C33051"/>
    <s v="Phone"/>
    <x v="1"/>
    <n v="441.54"/>
    <s v="397 Main St"/>
    <s v="Online"/>
    <s v="Delivered"/>
    <s v="TRK92929755"/>
    <n v="2"/>
    <s v="SAVE10"/>
    <x v="2"/>
    <n v="883.08"/>
    <x v="6"/>
  </r>
  <r>
    <s v="ORD201096"/>
    <d v="2025-05-03T00:00:00"/>
    <s v="C18169"/>
    <s v="Tablet"/>
    <x v="1"/>
    <n v="464.92"/>
    <s v="782 Main St"/>
    <s v="Debit Card"/>
    <s v="Returned"/>
    <s v="TRK49482923"/>
    <n v="2"/>
    <m/>
    <x v="3"/>
    <n v="929.84"/>
    <x v="4"/>
  </r>
  <r>
    <s v="ORD201097"/>
    <d v="2024-12-26T00:00:00"/>
    <s v="C81370"/>
    <s v="Monitor"/>
    <x v="0"/>
    <n v="506.45"/>
    <s v="344 Main St"/>
    <s v="Gift Card"/>
    <s v="Shipped"/>
    <s v="TRK99682998"/>
    <n v="7"/>
    <s v="WINTER15"/>
    <x v="4"/>
    <n v="2532.25"/>
    <x v="8"/>
  </r>
  <r>
    <s v="ORD201098"/>
    <d v="2023-06-17T00:00:00"/>
    <s v="C91103"/>
    <s v="Monitor"/>
    <x v="3"/>
    <n v="255.86"/>
    <s v="155 Main St"/>
    <s v="Credit Card"/>
    <s v="Delivered"/>
    <s v="TRK91653000"/>
    <n v="7"/>
    <m/>
    <x v="2"/>
    <n v="1023.44"/>
    <x v="5"/>
  </r>
  <r>
    <s v="ORD201099"/>
    <d v="2024-09-19T00:00:00"/>
    <s v="C21953"/>
    <s v="Laptop"/>
    <x v="1"/>
    <n v="125.23"/>
    <s v="272 Main St"/>
    <s v="Cash"/>
    <s v="Cancelled"/>
    <s v="TRK60774796"/>
    <n v="3"/>
    <s v="FREESHIP"/>
    <x v="2"/>
    <n v="250.46"/>
    <x v="11"/>
  </r>
  <r>
    <s v="ORD201100"/>
    <d v="2023-08-17T00:00:00"/>
    <s v="C15146"/>
    <s v="Laptop"/>
    <x v="0"/>
    <n v="38.11"/>
    <s v="428 Main St"/>
    <s v="Debit Card"/>
    <s v="Cancelled"/>
    <s v="TRK79790530"/>
    <n v="6"/>
    <s v="WINTER15"/>
    <x v="0"/>
    <n v="190.55"/>
    <x v="1"/>
  </r>
  <r>
    <s v="ORD201101"/>
    <d v="2025-06-08T00:00:00"/>
    <s v="C43546"/>
    <s v="Monitor"/>
    <x v="4"/>
    <n v="161.97"/>
    <s v="904 Main St"/>
    <s v="Cash"/>
    <s v="Pending"/>
    <s v="TRK85871121"/>
    <n v="4"/>
    <s v="SAVE10"/>
    <x v="2"/>
    <n v="485.91"/>
    <x v="5"/>
  </r>
  <r>
    <s v="ORD201102"/>
    <d v="2024-06-03T00:00:00"/>
    <s v="C98474"/>
    <s v="Chair"/>
    <x v="3"/>
    <n v="347.17"/>
    <s v="997 Main St"/>
    <s v="Debit Card"/>
    <s v="Shipped"/>
    <s v="TRK86192984"/>
    <n v="8"/>
    <m/>
    <x v="0"/>
    <n v="1388.68"/>
    <x v="5"/>
  </r>
  <r>
    <s v="ORD201103"/>
    <d v="2023-04-24T00:00:00"/>
    <s v="C90292"/>
    <s v="Laptop"/>
    <x v="3"/>
    <n v="276.32"/>
    <s v="129 Main St"/>
    <s v="Online"/>
    <s v="Delivered"/>
    <s v="TRK26270357"/>
    <n v="5"/>
    <m/>
    <x v="4"/>
    <n v="1105.28"/>
    <x v="6"/>
  </r>
  <r>
    <s v="ORD201104"/>
    <d v="2024-07-25T00:00:00"/>
    <s v="C17075"/>
    <s v="Tablet"/>
    <x v="3"/>
    <n v="314.76"/>
    <s v="850 Main St"/>
    <s v="Online"/>
    <s v="Shipped"/>
    <s v="TRK63547510"/>
    <n v="8"/>
    <m/>
    <x v="0"/>
    <n v="1259.04"/>
    <x v="10"/>
  </r>
  <r>
    <s v="ORD201105"/>
    <d v="2024-01-08T00:00:00"/>
    <s v="C12487"/>
    <s v="Tablet"/>
    <x v="4"/>
    <n v="475.69"/>
    <s v="884 Main St"/>
    <s v="Gift Card"/>
    <s v="Cancelled"/>
    <s v="TRK23324770"/>
    <n v="3"/>
    <s v="FREESHIP"/>
    <x v="4"/>
    <n v="1427.07"/>
    <x v="0"/>
  </r>
  <r>
    <s v="ORD201106"/>
    <d v="2023-03-12T00:00:00"/>
    <s v="C34555"/>
    <s v="Chair"/>
    <x v="2"/>
    <n v="372.8"/>
    <s v="903 Main St"/>
    <s v="Cash"/>
    <s v="Cancelled"/>
    <s v="TRK72859458"/>
    <n v="6"/>
    <s v="SAVE10"/>
    <x v="3"/>
    <n v="372.8"/>
    <x v="9"/>
  </r>
  <r>
    <s v="ORD201107"/>
    <d v="2025-06-30T00:00:00"/>
    <s v="C25110"/>
    <s v="Tablet"/>
    <x v="1"/>
    <n v="63.21"/>
    <s v="282 Main St"/>
    <s v="Online"/>
    <s v="Cancelled"/>
    <s v="TRK80963328"/>
    <n v="4"/>
    <s v="SAVE10"/>
    <x v="4"/>
    <n v="126.42"/>
    <x v="5"/>
  </r>
  <r>
    <s v="ORD201108"/>
    <d v="2023-03-20T00:00:00"/>
    <s v="C35136"/>
    <s v="Laptop"/>
    <x v="2"/>
    <n v="634.94000000000005"/>
    <s v="462 Main St"/>
    <s v="Online"/>
    <s v="Cancelled"/>
    <s v="TRK49753703"/>
    <n v="5"/>
    <s v="WINTER15"/>
    <x v="0"/>
    <n v="634.94000000000005"/>
    <x v="9"/>
  </r>
  <r>
    <s v="ORD201109"/>
    <d v="2024-04-08T00:00:00"/>
    <s v="C62277"/>
    <s v="Printer"/>
    <x v="3"/>
    <n v="77.47"/>
    <s v="474 Main St"/>
    <s v="Gift Card"/>
    <s v="Returned"/>
    <s v="TRK32026174"/>
    <n v="7"/>
    <s v="SAVE10"/>
    <x v="0"/>
    <n v="309.88"/>
    <x v="6"/>
  </r>
  <r>
    <s v="ORD201110"/>
    <d v="2024-02-25T00:00:00"/>
    <s v="C12472"/>
    <s v="Chair"/>
    <x v="4"/>
    <n v="84.31"/>
    <s v="912 Main St"/>
    <s v="Credit Card"/>
    <s v="Shipped"/>
    <s v="TRK36103184"/>
    <n v="3"/>
    <s v="SAVE10"/>
    <x v="2"/>
    <n v="252.93"/>
    <x v="2"/>
  </r>
  <r>
    <s v="ORD201111"/>
    <d v="2023-05-06T00:00:00"/>
    <s v="C24047"/>
    <s v="Monitor"/>
    <x v="3"/>
    <n v="234.45"/>
    <s v="362 Main St"/>
    <s v="Online"/>
    <s v="Cancelled"/>
    <s v="TRK91338580"/>
    <n v="9"/>
    <s v="FREESHIP"/>
    <x v="0"/>
    <n v="937.8"/>
    <x v="4"/>
  </r>
  <r>
    <s v="ORD201112"/>
    <d v="2023-10-13T00:00:00"/>
    <s v="C76929"/>
    <s v="Desk"/>
    <x v="2"/>
    <n v="356.81"/>
    <s v="563 Main St"/>
    <s v="Online"/>
    <s v="Delivered"/>
    <s v="TRK80694400"/>
    <n v="1"/>
    <s v="WINTER15"/>
    <x v="0"/>
    <n v="356.81"/>
    <x v="3"/>
  </r>
  <r>
    <s v="ORD201113"/>
    <d v="2023-03-19T00:00:00"/>
    <s v="C52914"/>
    <s v="Desk"/>
    <x v="3"/>
    <n v="209.99"/>
    <s v="168 Main St"/>
    <s v="Cash"/>
    <s v="Delivered"/>
    <s v="TRK80819053"/>
    <n v="8"/>
    <m/>
    <x v="4"/>
    <n v="839.96"/>
    <x v="9"/>
  </r>
  <r>
    <s v="ORD201114"/>
    <d v="2023-03-16T00:00:00"/>
    <s v="C55164"/>
    <s v="Tablet"/>
    <x v="4"/>
    <n v="659.88"/>
    <s v="609 Main St"/>
    <s v="Gift Card"/>
    <s v="Cancelled"/>
    <s v="TRK79610967"/>
    <n v="3"/>
    <m/>
    <x v="4"/>
    <n v="1979.64"/>
    <x v="9"/>
  </r>
  <r>
    <s v="ORD201115"/>
    <d v="2025-06-20T00:00:00"/>
    <s v="C70426"/>
    <s v="Laptop"/>
    <x v="1"/>
    <n v="336.32"/>
    <s v="562 Main St"/>
    <s v="Online"/>
    <s v="Returned"/>
    <s v="TRK89687816"/>
    <n v="3"/>
    <m/>
    <x v="4"/>
    <n v="672.64"/>
    <x v="5"/>
  </r>
  <r>
    <s v="ORD201116"/>
    <d v="2023-10-14T00:00:00"/>
    <s v="C69149"/>
    <s v="Printer"/>
    <x v="1"/>
    <n v="531.49"/>
    <s v="562 Main St"/>
    <s v="Credit Card"/>
    <s v="Delivered"/>
    <s v="TRK61265132"/>
    <n v="7"/>
    <s v="WINTER15"/>
    <x v="3"/>
    <n v="1062.98"/>
    <x v="3"/>
  </r>
  <r>
    <s v="ORD201117"/>
    <d v="2024-05-20T00:00:00"/>
    <s v="C78684"/>
    <s v="Chair"/>
    <x v="4"/>
    <n v="588.44000000000005"/>
    <s v="858 Main St"/>
    <s v="Gift Card"/>
    <s v="Shipped"/>
    <s v="TRK95779073"/>
    <n v="8"/>
    <s v="WINTER15"/>
    <x v="4"/>
    <n v="1765.32"/>
    <x v="4"/>
  </r>
  <r>
    <s v="ORD201118"/>
    <d v="2024-05-24T00:00:00"/>
    <s v="C58168"/>
    <s v="Phone"/>
    <x v="4"/>
    <n v="251.48"/>
    <s v="359 Main St"/>
    <s v="Credit Card"/>
    <s v="Returned"/>
    <s v="TRK99102265"/>
    <n v="4"/>
    <m/>
    <x v="2"/>
    <n v="754.43999999999994"/>
    <x v="4"/>
  </r>
  <r>
    <s v="ORD201119"/>
    <d v="2024-11-24T00:00:00"/>
    <s v="C99024"/>
    <s v="Laptop"/>
    <x v="2"/>
    <n v="684.65"/>
    <s v="250 Main St"/>
    <s v="Credit Card"/>
    <s v="Delivered"/>
    <s v="TRK24675988"/>
    <n v="1"/>
    <s v="FREESHIP"/>
    <x v="2"/>
    <n v="684.65"/>
    <x v="7"/>
  </r>
  <r>
    <s v="ORD201120"/>
    <d v="2025-05-10T00:00:00"/>
    <s v="C22919"/>
    <s v="Tablet"/>
    <x v="2"/>
    <n v="195.86"/>
    <s v="267 Main St"/>
    <s v="Online"/>
    <s v="Pending"/>
    <s v="TRK82416295"/>
    <n v="3"/>
    <m/>
    <x v="3"/>
    <n v="195.86"/>
    <x v="4"/>
  </r>
  <r>
    <s v="ORD201121"/>
    <d v="2023-05-28T00:00:00"/>
    <s v="C98354"/>
    <s v="Phone"/>
    <x v="4"/>
    <n v="50.34"/>
    <s v="393 Main St"/>
    <s v="Gift Card"/>
    <s v="Returned"/>
    <s v="TRK43070888"/>
    <n v="3"/>
    <s v="FREESHIP"/>
    <x v="0"/>
    <n v="151.02000000000001"/>
    <x v="4"/>
  </r>
  <r>
    <s v="ORD201122"/>
    <d v="2023-06-07T00:00:00"/>
    <s v="C38840"/>
    <s v="Monitor"/>
    <x v="0"/>
    <n v="678.19"/>
    <s v="766 Main St"/>
    <s v="Online"/>
    <s v="Returned"/>
    <s v="TRK32496970"/>
    <n v="8"/>
    <m/>
    <x v="3"/>
    <n v="3390.95"/>
    <x v="5"/>
  </r>
  <r>
    <s v="ORD201123"/>
    <d v="2023-04-14T00:00:00"/>
    <s v="C68936"/>
    <s v="Tablet"/>
    <x v="4"/>
    <n v="554.25"/>
    <s v="843 Main St"/>
    <s v="Debit Card"/>
    <s v="Shipped"/>
    <s v="TRK73163634"/>
    <n v="6"/>
    <s v="WINTER15"/>
    <x v="1"/>
    <n v="1662.75"/>
    <x v="6"/>
  </r>
  <r>
    <s v="ORD201124"/>
    <d v="2023-05-09T00:00:00"/>
    <s v="C33744"/>
    <s v="Chair"/>
    <x v="3"/>
    <n v="576.87"/>
    <s v="888 Main St"/>
    <s v="Gift Card"/>
    <s v="Returned"/>
    <s v="TRK40245983"/>
    <n v="5"/>
    <m/>
    <x v="0"/>
    <n v="2307.48"/>
    <x v="4"/>
  </r>
  <r>
    <s v="ORD201125"/>
    <d v="2023-10-16T00:00:00"/>
    <s v="C23555"/>
    <s v="Desk"/>
    <x v="3"/>
    <n v="408.36"/>
    <s v="156 Main St"/>
    <s v="Gift Card"/>
    <s v="Cancelled"/>
    <s v="TRK67210247"/>
    <n v="4"/>
    <s v="FREESHIP"/>
    <x v="1"/>
    <n v="1633.44"/>
    <x v="3"/>
  </r>
  <r>
    <s v="ORD201126"/>
    <d v="2024-07-22T00:00:00"/>
    <s v="C34337"/>
    <s v="Phone"/>
    <x v="0"/>
    <n v="190.11"/>
    <s v="325 Main St"/>
    <s v="Cash"/>
    <s v="Delivered"/>
    <s v="TRK36195559"/>
    <n v="7"/>
    <s v="SAVE10"/>
    <x v="4"/>
    <n v="950.55000000000007"/>
    <x v="10"/>
  </r>
  <r>
    <s v="ORD201127"/>
    <d v="2025-03-15T00:00:00"/>
    <s v="C69396"/>
    <s v="Printer"/>
    <x v="4"/>
    <n v="602.75"/>
    <s v="920 Main St"/>
    <s v="Credit Card"/>
    <s v="Shipped"/>
    <s v="TRK33155049"/>
    <n v="6"/>
    <s v="SAVE10"/>
    <x v="2"/>
    <n v="1808.25"/>
    <x v="9"/>
  </r>
  <r>
    <s v="ORD201128"/>
    <d v="2023-08-17T00:00:00"/>
    <s v="C49198"/>
    <s v="Monitor"/>
    <x v="4"/>
    <n v="646.79"/>
    <s v="447 Main St"/>
    <s v="Cash"/>
    <s v="Cancelled"/>
    <s v="TRK10883354"/>
    <n v="5"/>
    <s v="WINTER15"/>
    <x v="4"/>
    <n v="1940.37"/>
    <x v="1"/>
  </r>
  <r>
    <s v="ORD201129"/>
    <d v="2023-06-11T00:00:00"/>
    <s v="C43911"/>
    <s v="Chair"/>
    <x v="3"/>
    <n v="418.71"/>
    <s v="239 Main St"/>
    <s v="Cash"/>
    <s v="Pending"/>
    <s v="TRK37495481"/>
    <n v="8"/>
    <s v="FREESHIP"/>
    <x v="0"/>
    <n v="1674.84"/>
    <x v="5"/>
  </r>
  <r>
    <s v="ORD201130"/>
    <d v="2025-02-16T00:00:00"/>
    <s v="C24347"/>
    <s v="Laptop"/>
    <x v="1"/>
    <n v="323.45"/>
    <s v="533 Main St"/>
    <s v="Credit Card"/>
    <s v="Returned"/>
    <s v="TRK27233265"/>
    <n v="5"/>
    <s v="FREESHIP"/>
    <x v="0"/>
    <n v="646.9"/>
    <x v="2"/>
  </r>
  <r>
    <s v="ORD201131"/>
    <d v="2024-07-18T00:00:00"/>
    <s v="C21043"/>
    <s v="Phone"/>
    <x v="2"/>
    <n v="694.5"/>
    <s v="195 Main St"/>
    <s v="Credit Card"/>
    <s v="Pending"/>
    <s v="TRK41691086"/>
    <n v="3"/>
    <s v="WINTER15"/>
    <x v="3"/>
    <n v="694.5"/>
    <x v="10"/>
  </r>
  <r>
    <s v="ORD201132"/>
    <d v="2024-12-02T00:00:00"/>
    <s v="C58858"/>
    <s v="Chair"/>
    <x v="1"/>
    <n v="337.32"/>
    <s v="948 Main St"/>
    <s v="Credit Card"/>
    <s v="Cancelled"/>
    <s v="TRK30406357"/>
    <n v="4"/>
    <s v="SAVE10"/>
    <x v="2"/>
    <n v="674.64"/>
    <x v="8"/>
  </r>
  <r>
    <s v="ORD201133"/>
    <d v="2024-04-09T00:00:00"/>
    <s v="C20670"/>
    <s v="Printer"/>
    <x v="1"/>
    <n v="467.91"/>
    <s v="432 Main St"/>
    <s v="Gift Card"/>
    <s v="Returned"/>
    <s v="TRK76731303"/>
    <n v="5"/>
    <s v="WINTER15"/>
    <x v="3"/>
    <n v="935.82"/>
    <x v="6"/>
  </r>
  <r>
    <s v="ORD201134"/>
    <d v="2024-06-08T00:00:00"/>
    <s v="C90993"/>
    <s v="Desk"/>
    <x v="3"/>
    <n v="38.28"/>
    <s v="950 Main St"/>
    <s v="Debit Card"/>
    <s v="Cancelled"/>
    <s v="TRK53964711"/>
    <n v="4"/>
    <s v="WINTER15"/>
    <x v="3"/>
    <n v="153.12"/>
    <x v="5"/>
  </r>
  <r>
    <s v="ORD201135"/>
    <d v="2023-12-28T00:00:00"/>
    <s v="C11473"/>
    <s v="Printer"/>
    <x v="1"/>
    <n v="73.41"/>
    <s v="562 Main St"/>
    <s v="Online"/>
    <s v="Shipped"/>
    <s v="TRK97793275"/>
    <n v="2"/>
    <s v="SAVE10"/>
    <x v="4"/>
    <n v="146.82"/>
    <x v="8"/>
  </r>
  <r>
    <s v="ORD201136"/>
    <d v="2023-09-24T00:00:00"/>
    <s v="C71899"/>
    <s v="Tablet"/>
    <x v="4"/>
    <n v="668.33"/>
    <s v="799 Main St"/>
    <s v="Gift Card"/>
    <s v="Pending"/>
    <s v="TRK34856025"/>
    <n v="4"/>
    <s v="WINTER15"/>
    <x v="3"/>
    <n v="2004.99"/>
    <x v="11"/>
  </r>
  <r>
    <s v="ORD201137"/>
    <d v="2024-07-29T00:00:00"/>
    <s v="C48577"/>
    <s v="Printer"/>
    <x v="3"/>
    <n v="410.21"/>
    <s v="841 Main St"/>
    <s v="Cash"/>
    <s v="Pending"/>
    <s v="TRK59911645"/>
    <n v="5"/>
    <s v="WINTER15"/>
    <x v="0"/>
    <n v="1640.84"/>
    <x v="10"/>
  </r>
  <r>
    <s v="ORD201138"/>
    <d v="2023-12-18T00:00:00"/>
    <s v="C13100"/>
    <s v="Desk"/>
    <x v="3"/>
    <n v="294.41000000000003"/>
    <s v="188 Main St"/>
    <s v="Debit Card"/>
    <s v="Pending"/>
    <s v="TRK55565668"/>
    <n v="4"/>
    <m/>
    <x v="0"/>
    <n v="1177.6400000000001"/>
    <x v="8"/>
  </r>
  <r>
    <s v="ORD201139"/>
    <d v="2025-03-01T00:00:00"/>
    <s v="C70659"/>
    <s v="Chair"/>
    <x v="4"/>
    <n v="501.82"/>
    <s v="568 Main St"/>
    <s v="Gift Card"/>
    <s v="Cancelled"/>
    <s v="TRK28290825"/>
    <n v="4"/>
    <s v="FREESHIP"/>
    <x v="2"/>
    <n v="1505.46"/>
    <x v="9"/>
  </r>
  <r>
    <s v="ORD201140"/>
    <d v="2024-06-24T00:00:00"/>
    <s v="C49838"/>
    <s v="Printer"/>
    <x v="1"/>
    <n v="552.83000000000004"/>
    <s v="904 Main St"/>
    <s v="Credit Card"/>
    <s v="Cancelled"/>
    <s v="TRK38297718"/>
    <n v="3"/>
    <m/>
    <x v="1"/>
    <n v="1105.6600000000001"/>
    <x v="5"/>
  </r>
  <r>
    <s v="ORD201141"/>
    <d v="2025-02-16T00:00:00"/>
    <s v="C11998"/>
    <s v="Chair"/>
    <x v="4"/>
    <n v="498.66"/>
    <s v="382 Main St"/>
    <s v="Cash"/>
    <s v="Cancelled"/>
    <s v="TRK26707221"/>
    <n v="6"/>
    <m/>
    <x v="2"/>
    <n v="1495.98"/>
    <x v="2"/>
  </r>
  <r>
    <s v="ORD201142"/>
    <d v="2024-08-23T00:00:00"/>
    <s v="C23405"/>
    <s v="Phone"/>
    <x v="3"/>
    <n v="695.1"/>
    <s v="484 Main St"/>
    <s v="Debit Card"/>
    <s v="Returned"/>
    <s v="TRK83678708"/>
    <n v="8"/>
    <m/>
    <x v="2"/>
    <n v="2780.4"/>
    <x v="1"/>
  </r>
  <r>
    <s v="ORD201143"/>
    <d v="2023-04-03T00:00:00"/>
    <s v="C41132"/>
    <s v="Chair"/>
    <x v="2"/>
    <n v="381.61"/>
    <s v="114 Main St"/>
    <s v="Debit Card"/>
    <s v="Pending"/>
    <s v="TRK51040137"/>
    <n v="5"/>
    <m/>
    <x v="2"/>
    <n v="381.61"/>
    <x v="6"/>
  </r>
  <r>
    <s v="ORD201144"/>
    <d v="2023-02-16T00:00:00"/>
    <s v="C88463"/>
    <s v="Desk"/>
    <x v="0"/>
    <n v="507.94"/>
    <s v="292 Main St"/>
    <s v="Online"/>
    <s v="Cancelled"/>
    <s v="TRK88749996"/>
    <n v="9"/>
    <m/>
    <x v="3"/>
    <n v="2539.6999999999998"/>
    <x v="2"/>
  </r>
  <r>
    <s v="ORD201145"/>
    <d v="2025-05-12T00:00:00"/>
    <s v="C28152"/>
    <s v="Desk"/>
    <x v="4"/>
    <n v="571.53"/>
    <s v="821 Main St"/>
    <s v="Debit Card"/>
    <s v="Delivered"/>
    <s v="TRK59642814"/>
    <n v="6"/>
    <s v="FREESHIP"/>
    <x v="3"/>
    <n v="1714.59"/>
    <x v="4"/>
  </r>
  <r>
    <s v="ORD201146"/>
    <d v="2024-10-03T00:00:00"/>
    <s v="C36383"/>
    <s v="Monitor"/>
    <x v="0"/>
    <n v="421.44"/>
    <s v="286 Main St"/>
    <s v="Cash"/>
    <s v="Pending"/>
    <s v="TRK93336357"/>
    <n v="5"/>
    <s v="SAVE10"/>
    <x v="0"/>
    <n v="2107.1999999999998"/>
    <x v="3"/>
  </r>
  <r>
    <s v="ORD201147"/>
    <d v="2025-01-02T00:00:00"/>
    <s v="C19759"/>
    <s v="Chair"/>
    <x v="1"/>
    <n v="588.29999999999995"/>
    <s v="234 Main St"/>
    <s v="Online"/>
    <s v="Pending"/>
    <s v="TRK22515454"/>
    <n v="2"/>
    <s v="FREESHIP"/>
    <x v="2"/>
    <n v="1176.5999999999999"/>
    <x v="0"/>
  </r>
  <r>
    <s v="ORD201148"/>
    <d v="2024-06-25T00:00:00"/>
    <s v="C54886"/>
    <s v="Phone"/>
    <x v="2"/>
    <n v="355.15"/>
    <s v="442 Main St"/>
    <s v="Cash"/>
    <s v="Returned"/>
    <s v="TRK66241930"/>
    <n v="2"/>
    <s v="SAVE10"/>
    <x v="2"/>
    <n v="355.15"/>
    <x v="5"/>
  </r>
  <r>
    <s v="ORD201149"/>
    <d v="2024-07-25T00:00:00"/>
    <s v="C27305"/>
    <s v="Chair"/>
    <x v="1"/>
    <n v="695.29"/>
    <s v="957 Main St"/>
    <s v="Credit Card"/>
    <s v="Pending"/>
    <s v="TRK28789916"/>
    <n v="6"/>
    <s v="FREESHIP"/>
    <x v="0"/>
    <n v="1390.58"/>
    <x v="10"/>
  </r>
  <r>
    <s v="ORD201150"/>
    <d v="2023-02-20T00:00:00"/>
    <s v="C17921"/>
    <s v="Desk"/>
    <x v="3"/>
    <n v="302.64999999999998"/>
    <s v="119 Main St"/>
    <s v="Credit Card"/>
    <s v="Cancelled"/>
    <s v="TRK79291524"/>
    <n v="8"/>
    <s v="SAVE10"/>
    <x v="1"/>
    <n v="1210.5999999999999"/>
    <x v="2"/>
  </r>
  <r>
    <s v="ORD201151"/>
    <d v="2023-01-29T00:00:00"/>
    <s v="C94381"/>
    <s v="Chair"/>
    <x v="1"/>
    <n v="608.04"/>
    <s v="962 Main St"/>
    <s v="Cash"/>
    <s v="Cancelled"/>
    <s v="TRK69804304"/>
    <n v="4"/>
    <m/>
    <x v="4"/>
    <n v="1216.08"/>
    <x v="0"/>
  </r>
  <r>
    <s v="ORD201152"/>
    <d v="2023-11-09T00:00:00"/>
    <s v="C25162"/>
    <s v="Tablet"/>
    <x v="1"/>
    <n v="344.18"/>
    <s v="533 Main St"/>
    <s v="Credit Card"/>
    <s v="Shipped"/>
    <s v="TRK42183078"/>
    <n v="7"/>
    <m/>
    <x v="1"/>
    <n v="688.36"/>
    <x v="7"/>
  </r>
  <r>
    <s v="ORD201153"/>
    <d v="2024-12-16T00:00:00"/>
    <s v="C98317"/>
    <s v="Monitor"/>
    <x v="3"/>
    <n v="696.71"/>
    <s v="276 Main St"/>
    <s v="Debit Card"/>
    <s v="Shipped"/>
    <s v="TRK37172138"/>
    <n v="4"/>
    <m/>
    <x v="0"/>
    <n v="2786.84"/>
    <x v="8"/>
  </r>
  <r>
    <s v="ORD201154"/>
    <d v="2025-06-11T00:00:00"/>
    <s v="C53631"/>
    <s v="Monitor"/>
    <x v="4"/>
    <n v="198.63"/>
    <s v="593 Main St"/>
    <s v="Cash"/>
    <s v="Pending"/>
    <s v="TRK67589167"/>
    <n v="8"/>
    <s v="SAVE10"/>
    <x v="0"/>
    <n v="595.89"/>
    <x v="5"/>
  </r>
  <r>
    <s v="ORD201155"/>
    <d v="2023-08-13T00:00:00"/>
    <s v="C41478"/>
    <s v="Printer"/>
    <x v="3"/>
    <n v="534.57000000000005"/>
    <s v="667 Main St"/>
    <s v="Credit Card"/>
    <s v="Delivered"/>
    <s v="TRK62068126"/>
    <n v="6"/>
    <s v="FREESHIP"/>
    <x v="3"/>
    <n v="2138.2800000000002"/>
    <x v="1"/>
  </r>
  <r>
    <s v="ORD201156"/>
    <d v="2023-07-19T00:00:00"/>
    <s v="C20512"/>
    <s v="Laptop"/>
    <x v="3"/>
    <n v="690.78"/>
    <s v="980 Main St"/>
    <s v="Credit Card"/>
    <s v="Shipped"/>
    <s v="TRK98234737"/>
    <n v="9"/>
    <m/>
    <x v="1"/>
    <n v="2763.12"/>
    <x v="10"/>
  </r>
  <r>
    <s v="ORD201157"/>
    <d v="2024-05-29T00:00:00"/>
    <s v="C25841"/>
    <s v="Monitor"/>
    <x v="4"/>
    <n v="301.55"/>
    <s v="242 Main St"/>
    <s v="Debit Card"/>
    <s v="Delivered"/>
    <s v="TRK21451375"/>
    <n v="5"/>
    <s v="FREESHIP"/>
    <x v="4"/>
    <n v="904.65000000000009"/>
    <x v="4"/>
  </r>
  <r>
    <s v="ORD201158"/>
    <d v="2023-04-20T00:00:00"/>
    <s v="C82781"/>
    <s v="Monitor"/>
    <x v="3"/>
    <n v="27.42"/>
    <s v="661 Main St"/>
    <s v="Debit Card"/>
    <s v="Pending"/>
    <s v="TRK20605418"/>
    <n v="4"/>
    <s v="SAVE10"/>
    <x v="1"/>
    <n v="109.68"/>
    <x v="6"/>
  </r>
  <r>
    <s v="ORD201159"/>
    <d v="2024-02-23T00:00:00"/>
    <s v="C66112"/>
    <s v="Desk"/>
    <x v="3"/>
    <n v="466.7"/>
    <s v="874 Main St"/>
    <s v="Debit Card"/>
    <s v="Returned"/>
    <s v="TRK60955607"/>
    <n v="8"/>
    <m/>
    <x v="0"/>
    <n v="1866.8"/>
    <x v="2"/>
  </r>
  <r>
    <s v="ORD201160"/>
    <d v="2024-09-04T00:00:00"/>
    <s v="C40466"/>
    <s v="Desk"/>
    <x v="2"/>
    <n v="541.64"/>
    <s v="449 Main St"/>
    <s v="Debit Card"/>
    <s v="Shipped"/>
    <s v="TRK70255168"/>
    <n v="5"/>
    <s v="SAVE10"/>
    <x v="2"/>
    <n v="541.64"/>
    <x v="11"/>
  </r>
  <r>
    <s v="ORD201161"/>
    <d v="2023-10-16T00:00:00"/>
    <s v="C32570"/>
    <s v="Phone"/>
    <x v="2"/>
    <n v="11.39"/>
    <s v="826 Main St"/>
    <s v="Cash"/>
    <s v="Cancelled"/>
    <s v="TRK35969968"/>
    <n v="6"/>
    <s v="WINTER15"/>
    <x v="2"/>
    <n v="11.39"/>
    <x v="3"/>
  </r>
  <r>
    <s v="ORD201162"/>
    <d v="2025-03-11T00:00:00"/>
    <s v="C29405"/>
    <s v="Phone"/>
    <x v="1"/>
    <n v="224.37"/>
    <s v="251 Main St"/>
    <s v="Debit Card"/>
    <s v="Delivered"/>
    <s v="TRK33125798"/>
    <n v="3"/>
    <s v="WINTER15"/>
    <x v="1"/>
    <n v="448.74"/>
    <x v="9"/>
  </r>
  <r>
    <s v="ORD201163"/>
    <d v="2024-06-11T00:00:00"/>
    <s v="C30643"/>
    <s v="Laptop"/>
    <x v="4"/>
    <n v="306.29000000000002"/>
    <s v="966 Main St"/>
    <s v="Credit Card"/>
    <s v="Returned"/>
    <s v="TRK19477485"/>
    <n v="7"/>
    <s v="WINTER15"/>
    <x v="0"/>
    <n v="918.87000000000012"/>
    <x v="5"/>
  </r>
  <r>
    <s v="ORD201164"/>
    <d v="2024-01-08T00:00:00"/>
    <s v="C65890"/>
    <s v="Tablet"/>
    <x v="0"/>
    <n v="315.57"/>
    <s v="340 Main St"/>
    <s v="Debit Card"/>
    <s v="Delivered"/>
    <s v="TRK64530489"/>
    <n v="6"/>
    <s v="WINTER15"/>
    <x v="2"/>
    <n v="1577.85"/>
    <x v="0"/>
  </r>
  <r>
    <s v="ORD201165"/>
    <d v="2023-07-14T00:00:00"/>
    <s v="C36992"/>
    <s v="Chair"/>
    <x v="4"/>
    <n v="223.79"/>
    <s v="617 Main St"/>
    <s v="Debit Card"/>
    <s v="Pending"/>
    <s v="TRK63460217"/>
    <n v="3"/>
    <m/>
    <x v="4"/>
    <n v="671.37"/>
    <x v="10"/>
  </r>
  <r>
    <s v="ORD201166"/>
    <d v="2023-07-31T00:00:00"/>
    <s v="C95568"/>
    <s v="Chair"/>
    <x v="4"/>
    <n v="324.47000000000003"/>
    <s v="971 Main St"/>
    <s v="Cash"/>
    <s v="Delivered"/>
    <s v="TRK37075292"/>
    <n v="4"/>
    <s v="WINTER15"/>
    <x v="2"/>
    <n v="973.41000000000008"/>
    <x v="10"/>
  </r>
  <r>
    <s v="ORD201167"/>
    <d v="2023-10-17T00:00:00"/>
    <s v="C17966"/>
    <s v="Printer"/>
    <x v="1"/>
    <n v="92.87"/>
    <s v="360 Main St"/>
    <s v="Credit Card"/>
    <s v="Pending"/>
    <s v="TRK31169396"/>
    <n v="5"/>
    <s v="FREESHIP"/>
    <x v="3"/>
    <n v="185.74"/>
    <x v="3"/>
  </r>
  <r>
    <s v="ORD201168"/>
    <d v="2023-04-08T00:00:00"/>
    <s v="C89559"/>
    <s v="Laptop"/>
    <x v="1"/>
    <n v="331.42"/>
    <s v="297 Main St"/>
    <s v="Credit Card"/>
    <s v="Delivered"/>
    <s v="TRK82838108"/>
    <n v="6"/>
    <s v="WINTER15"/>
    <x v="4"/>
    <n v="662.84"/>
    <x v="6"/>
  </r>
  <r>
    <s v="ORD201169"/>
    <d v="2024-12-23T00:00:00"/>
    <s v="C15849"/>
    <s v="Chair"/>
    <x v="2"/>
    <n v="525.42999999999995"/>
    <s v="643 Main St"/>
    <s v="Cash"/>
    <s v="Cancelled"/>
    <s v="TRK26794546"/>
    <n v="2"/>
    <s v="SAVE10"/>
    <x v="0"/>
    <n v="525.42999999999995"/>
    <x v="8"/>
  </r>
  <r>
    <s v="ORD201170"/>
    <d v="2023-08-03T00:00:00"/>
    <s v="C94257"/>
    <s v="Printer"/>
    <x v="1"/>
    <n v="697.19"/>
    <s v="762 Main St"/>
    <s v="Cash"/>
    <s v="Returned"/>
    <s v="TRK40220743"/>
    <n v="7"/>
    <s v="FREESHIP"/>
    <x v="2"/>
    <n v="1394.38"/>
    <x v="1"/>
  </r>
  <r>
    <s v="ORD201171"/>
    <d v="2023-08-28T00:00:00"/>
    <s v="C39911"/>
    <s v="Phone"/>
    <x v="3"/>
    <n v="518.4"/>
    <s v="699 Main St"/>
    <s v="Credit Card"/>
    <s v="Delivered"/>
    <s v="TRK80431998"/>
    <n v="7"/>
    <s v="SAVE10"/>
    <x v="3"/>
    <n v="2073.6"/>
    <x v="1"/>
  </r>
  <r>
    <s v="ORD201172"/>
    <d v="2025-02-04T00:00:00"/>
    <s v="C28828"/>
    <s v="Desk"/>
    <x v="4"/>
    <n v="131.96"/>
    <s v="745 Main St"/>
    <s v="Credit Card"/>
    <s v="Pending"/>
    <s v="TRK32550359"/>
    <n v="8"/>
    <m/>
    <x v="0"/>
    <n v="395.88"/>
    <x v="2"/>
  </r>
  <r>
    <s v="ORD201173"/>
    <d v="2024-10-04T00:00:00"/>
    <s v="C82921"/>
    <s v="Monitor"/>
    <x v="2"/>
    <n v="208.36"/>
    <s v="703 Main St"/>
    <s v="Online"/>
    <s v="Shipped"/>
    <s v="TRK31079911"/>
    <n v="4"/>
    <s v="FREESHIP"/>
    <x v="2"/>
    <n v="208.36"/>
    <x v="3"/>
  </r>
  <r>
    <s v="ORD201174"/>
    <d v="2023-11-27T00:00:00"/>
    <s v="C50159"/>
    <s v="Printer"/>
    <x v="4"/>
    <n v="222.34"/>
    <s v="105 Main St"/>
    <s v="Credit Card"/>
    <s v="Returned"/>
    <s v="TRK53737452"/>
    <n v="5"/>
    <s v="WINTER15"/>
    <x v="2"/>
    <n v="667.02"/>
    <x v="7"/>
  </r>
  <r>
    <s v="ORD201175"/>
    <d v="2024-09-10T00:00:00"/>
    <s v="C62512"/>
    <s v="Printer"/>
    <x v="4"/>
    <n v="91.74"/>
    <s v="368 Main St"/>
    <s v="Debit Card"/>
    <s v="Returned"/>
    <s v="TRK24139954"/>
    <n v="8"/>
    <s v="FREESHIP"/>
    <x v="1"/>
    <n v="275.22000000000003"/>
    <x v="11"/>
  </r>
  <r>
    <s v="ORD201176"/>
    <d v="2023-08-13T00:00:00"/>
    <s v="C39260"/>
    <s v="Tablet"/>
    <x v="1"/>
    <n v="213.83"/>
    <s v="374 Main St"/>
    <s v="Debit Card"/>
    <s v="Cancelled"/>
    <s v="TRK55587314"/>
    <n v="2"/>
    <s v="WINTER15"/>
    <x v="2"/>
    <n v="427.66"/>
    <x v="1"/>
  </r>
  <r>
    <s v="ORD201177"/>
    <d v="2023-04-27T00:00:00"/>
    <s v="C23917"/>
    <s v="Printer"/>
    <x v="2"/>
    <n v="127.55"/>
    <s v="433 Main St"/>
    <s v="Cash"/>
    <s v="Shipped"/>
    <s v="TRK44434536"/>
    <n v="3"/>
    <s v="SAVE10"/>
    <x v="1"/>
    <n v="127.55"/>
    <x v="6"/>
  </r>
  <r>
    <s v="ORD201178"/>
    <d v="2024-09-08T00:00:00"/>
    <s v="C65107"/>
    <s v="Monitor"/>
    <x v="2"/>
    <n v="70.239999999999995"/>
    <s v="456 Main St"/>
    <s v="Credit Card"/>
    <s v="Cancelled"/>
    <s v="TRK10261578"/>
    <n v="4"/>
    <s v="FREESHIP"/>
    <x v="4"/>
    <n v="70.239999999999995"/>
    <x v="11"/>
  </r>
  <r>
    <s v="ORD201179"/>
    <d v="2023-01-08T00:00:00"/>
    <s v="C84630"/>
    <s v="Laptop"/>
    <x v="0"/>
    <n v="518.54999999999995"/>
    <s v="907 Main St"/>
    <s v="Credit Card"/>
    <s v="Cancelled"/>
    <s v="TRK48054997"/>
    <n v="6"/>
    <s v="WINTER15"/>
    <x v="0"/>
    <n v="2592.75"/>
    <x v="0"/>
  </r>
  <r>
    <s v="ORD201180"/>
    <d v="2023-10-31T00:00:00"/>
    <s v="C42235"/>
    <s v="Chair"/>
    <x v="3"/>
    <n v="298.36"/>
    <s v="722 Main St"/>
    <s v="Debit Card"/>
    <s v="Pending"/>
    <s v="TRK49379882"/>
    <n v="8"/>
    <s v="FREESHIP"/>
    <x v="4"/>
    <n v="1193.44"/>
    <x v="3"/>
  </r>
  <r>
    <s v="ORD201181"/>
    <d v="2023-07-27T00:00:00"/>
    <s v="C70246"/>
    <s v="Desk"/>
    <x v="4"/>
    <n v="158.74"/>
    <s v="293 Main St"/>
    <s v="Online"/>
    <s v="Pending"/>
    <s v="TRK45708320"/>
    <n v="7"/>
    <s v="FREESHIP"/>
    <x v="0"/>
    <n v="476.22"/>
    <x v="10"/>
  </r>
  <r>
    <s v="ORD201182"/>
    <d v="2025-06-14T00:00:00"/>
    <s v="C18473"/>
    <s v="Chair"/>
    <x v="1"/>
    <n v="420.29"/>
    <s v="700 Main St"/>
    <s v="Gift Card"/>
    <s v="Returned"/>
    <s v="TRK97834202"/>
    <n v="3"/>
    <s v="SAVE10"/>
    <x v="4"/>
    <n v="840.58"/>
    <x v="5"/>
  </r>
  <r>
    <s v="ORD201183"/>
    <d v="2023-04-05T00:00:00"/>
    <s v="C12607"/>
    <s v="Desk"/>
    <x v="2"/>
    <n v="281.52"/>
    <s v="460 Main St"/>
    <s v="Gift Card"/>
    <s v="Shipped"/>
    <s v="TRK83653396"/>
    <n v="6"/>
    <s v="WINTER15"/>
    <x v="1"/>
    <n v="281.52"/>
    <x v="6"/>
  </r>
  <r>
    <s v="ORD201184"/>
    <d v="2023-09-27T00:00:00"/>
    <s v="C10222"/>
    <s v="Laptop"/>
    <x v="2"/>
    <n v="204.08"/>
    <s v="979 Main St"/>
    <s v="Gift Card"/>
    <s v="Returned"/>
    <s v="TRK86297895"/>
    <n v="4"/>
    <m/>
    <x v="4"/>
    <n v="204.08"/>
    <x v="11"/>
  </r>
  <r>
    <s v="ORD201185"/>
    <d v="2024-07-08T00:00:00"/>
    <s v="C77344"/>
    <s v="Chair"/>
    <x v="2"/>
    <n v="343.31"/>
    <s v="777 Main St"/>
    <s v="Gift Card"/>
    <s v="Returned"/>
    <s v="TRK20605055"/>
    <n v="6"/>
    <s v="SAVE10"/>
    <x v="4"/>
    <n v="343.31"/>
    <x v="10"/>
  </r>
  <r>
    <s v="ORD201186"/>
    <d v="2023-11-18T00:00:00"/>
    <s v="C65497"/>
    <s v="Monitor"/>
    <x v="2"/>
    <n v="163.32"/>
    <s v="676 Main St"/>
    <s v="Cash"/>
    <s v="Shipped"/>
    <s v="TRK83702761"/>
    <n v="6"/>
    <s v="WINTER15"/>
    <x v="3"/>
    <n v="163.32"/>
    <x v="7"/>
  </r>
  <r>
    <s v="ORD201187"/>
    <d v="2024-03-13T00:00:00"/>
    <s v="C26340"/>
    <s v="Desk"/>
    <x v="1"/>
    <n v="184.6"/>
    <s v="562 Main St"/>
    <s v="Gift Card"/>
    <s v="Delivered"/>
    <s v="TRK59962703"/>
    <n v="7"/>
    <s v="WINTER15"/>
    <x v="2"/>
    <n v="369.2"/>
    <x v="9"/>
  </r>
  <r>
    <s v="ORD201188"/>
    <d v="2023-10-07T00:00:00"/>
    <s v="C75619"/>
    <s v="Printer"/>
    <x v="1"/>
    <n v="371.29"/>
    <s v="924 Main St"/>
    <s v="Gift Card"/>
    <s v="Shipped"/>
    <s v="TRK23086941"/>
    <n v="5"/>
    <s v="WINTER15"/>
    <x v="3"/>
    <n v="742.58"/>
    <x v="3"/>
  </r>
  <r>
    <s v="ORD201189"/>
    <d v="2024-08-17T00:00:00"/>
    <s v="C96136"/>
    <s v="Tablet"/>
    <x v="0"/>
    <n v="389.22"/>
    <s v="149 Main St"/>
    <s v="Cash"/>
    <s v="Cancelled"/>
    <s v="TRK60856682"/>
    <n v="7"/>
    <m/>
    <x v="1"/>
    <n v="1946.1"/>
    <x v="1"/>
  </r>
  <r>
    <s v="ORD201190"/>
    <d v="2025-06-08T00:00:00"/>
    <s v="C46886"/>
    <s v="Desk"/>
    <x v="4"/>
    <n v="616.39"/>
    <s v="754 Main St"/>
    <s v="Credit Card"/>
    <s v="Shipped"/>
    <s v="TRK82791646"/>
    <n v="6"/>
    <s v="FREESHIP"/>
    <x v="0"/>
    <n v="1849.17"/>
    <x v="5"/>
  </r>
  <r>
    <s v="ORD201191"/>
    <d v="2025-02-10T00:00:00"/>
    <s v="C44148"/>
    <s v="Desk"/>
    <x v="3"/>
    <n v="376.43"/>
    <s v="809 Main St"/>
    <s v="Gift Card"/>
    <s v="Pending"/>
    <s v="TRK67872709"/>
    <n v="5"/>
    <s v="WINTER15"/>
    <x v="0"/>
    <n v="1505.72"/>
    <x v="2"/>
  </r>
  <r>
    <s v="ORD201192"/>
    <d v="2024-02-28T00:00:00"/>
    <s v="C72007"/>
    <s v="Chair"/>
    <x v="4"/>
    <n v="432.85"/>
    <s v="999 Main St"/>
    <s v="Online"/>
    <s v="Pending"/>
    <s v="TRK16240916"/>
    <n v="4"/>
    <m/>
    <x v="0"/>
    <n v="1298.55"/>
    <x v="2"/>
  </r>
  <r>
    <s v="ORD201193"/>
    <d v="2025-06-16T00:00:00"/>
    <s v="C45104"/>
    <s v="Tablet"/>
    <x v="2"/>
    <n v="687.89"/>
    <s v="348 Main St"/>
    <s v="Cash"/>
    <s v="Returned"/>
    <s v="TRK38559816"/>
    <n v="1"/>
    <s v="FREESHIP"/>
    <x v="2"/>
    <n v="687.89"/>
    <x v="5"/>
  </r>
  <r>
    <s v="ORD201194"/>
    <d v="2023-11-19T00:00:00"/>
    <s v="C29885"/>
    <s v="Printer"/>
    <x v="4"/>
    <n v="189.44"/>
    <s v="725 Main St"/>
    <s v="Cash"/>
    <s v="Pending"/>
    <s v="TRK62067865"/>
    <n v="4"/>
    <s v="FREESHIP"/>
    <x v="2"/>
    <n v="568.31999999999994"/>
    <x v="7"/>
  </r>
  <r>
    <s v="ORD201195"/>
    <d v="2024-06-20T00:00:00"/>
    <s v="C21126"/>
    <s v="Desk"/>
    <x v="2"/>
    <n v="107.04"/>
    <s v="392 Main St"/>
    <s v="Credit Card"/>
    <s v="Cancelled"/>
    <s v="TRK38009181"/>
    <n v="6"/>
    <s v="FREESHIP"/>
    <x v="4"/>
    <n v="107.04"/>
    <x v="5"/>
  </r>
  <r>
    <s v="ORD201196"/>
    <d v="2024-03-04T00:00:00"/>
    <s v="C20095"/>
    <s v="Monitor"/>
    <x v="1"/>
    <n v="662.53"/>
    <s v="778 Main St"/>
    <s v="Online"/>
    <s v="Cancelled"/>
    <s v="TRK69207593"/>
    <n v="5"/>
    <m/>
    <x v="3"/>
    <n v="1325.06"/>
    <x v="9"/>
  </r>
  <r>
    <s v="ORD201197"/>
    <d v="2023-07-13T00:00:00"/>
    <s v="C79674"/>
    <s v="Tablet"/>
    <x v="1"/>
    <n v="436.84"/>
    <s v="275 Main St"/>
    <s v="Online"/>
    <s v="Delivered"/>
    <s v="TRK88039356"/>
    <n v="2"/>
    <s v="FREESHIP"/>
    <x v="0"/>
    <n v="873.68"/>
    <x v="10"/>
  </r>
  <r>
    <s v="ORD201198"/>
    <d v="2024-08-22T00:00:00"/>
    <s v="C64753"/>
    <s v="Chair"/>
    <x v="3"/>
    <n v="262.52"/>
    <s v="509 Main St"/>
    <s v="Debit Card"/>
    <s v="Cancelled"/>
    <s v="TRK71683331"/>
    <n v="4"/>
    <s v="WINTER15"/>
    <x v="0"/>
    <n v="1050.08"/>
    <x v="1"/>
  </r>
  <r>
    <s v="ORD201199"/>
    <d v="2023-06-11T00:00:00"/>
    <s v="C57502"/>
    <s v="Tablet"/>
    <x v="3"/>
    <n v="560.58000000000004"/>
    <s v="201 Main St"/>
    <s v="Gift Card"/>
    <s v="Returned"/>
    <s v="TRK51116746"/>
    <n v="6"/>
    <s v="SAVE10"/>
    <x v="1"/>
    <n v="2242.3200000000002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E6284B-7858-42AB-BB27-83C899E647E2}" name="PivotTable2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5"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EA9B6D-7701-430E-AFDB-C7C744D8A13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Q160:R166" firstHeaderRow="1" firstDataRow="1" firstDataCol="1"/>
  <pivotFields count="14">
    <pivotField showAll="0"/>
    <pivotField numFmtId="164" showAll="0"/>
    <pivotField showAll="0"/>
    <pivotField showAll="0"/>
    <pivotField showAll="0"/>
    <pivotField showAll="0"/>
    <pivotField showAll="0"/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7"/>
  </rowFields>
  <rowItems count="6">
    <i>
      <x v="1"/>
    </i>
    <i>
      <x v="4"/>
    </i>
    <i>
      <x/>
    </i>
    <i>
      <x v="3"/>
    </i>
    <i>
      <x v="2"/>
    </i>
    <i t="grand">
      <x/>
    </i>
  </rowItems>
  <colItems count="1">
    <i/>
  </colItems>
  <dataFields count="1">
    <dataField name="Sum of TotalPrice" fld="13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15DD5D-7903-4DE5-8CC1-F380A308424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10:R16" firstHeaderRow="1" firstDataRow="1" firstDataCol="1"/>
  <pivotFields count="14">
    <pivotField dataField="1" showAll="0"/>
    <pivotField numFmtId="164" showAll="0"/>
    <pivotField showAll="0"/>
    <pivotField showAll="0"/>
    <pivotField showAll="0"/>
    <pivotField showAll="0"/>
    <pivotField showAll="0"/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 v="4"/>
    </i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2F2206-733B-4F02-91D5-5BFE9C2A03D6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Q39:R52" firstHeaderRow="1" firstDataRow="1" firstDataCol="1"/>
  <pivotFields count="15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4"/>
  </rowFields>
  <rowItems count="13">
    <i>
      <x v="5"/>
    </i>
    <i>
      <x v="4"/>
    </i>
    <i>
      <x/>
    </i>
    <i>
      <x v="2"/>
    </i>
    <i>
      <x v="1"/>
    </i>
    <i>
      <x v="3"/>
    </i>
    <i>
      <x v="9"/>
    </i>
    <i>
      <x v="7"/>
    </i>
    <i>
      <x v="6"/>
    </i>
    <i>
      <x v="11"/>
    </i>
    <i>
      <x v="10"/>
    </i>
    <i>
      <x v="8"/>
    </i>
    <i t="grand">
      <x/>
    </i>
  </rowItems>
  <colItems count="1">
    <i/>
  </colItems>
  <dataFields count="1">
    <dataField name="Sum of Total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8B6A6E-F005-4BC3-A972-F91BB9C56E3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121:R127" firstHeaderRow="1" firstDataRow="1" firstDataCol="1"/>
  <pivotFields count="14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12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Sum of Total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8D3036-468D-4831-AD74-A96BE840290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81:R87" firstHeaderRow="1" firstDataRow="1" firstDataCol="1"/>
  <pivotFields count="14"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2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DFE90-27F9-43DD-9C24-E9634189C0CE}">
  <dimension ref="A3:B9"/>
  <sheetViews>
    <sheetView workbookViewId="0">
      <selection activeCell="B20" sqref="B20"/>
    </sheetView>
  </sheetViews>
  <sheetFormatPr defaultRowHeight="14.5" x14ac:dyDescent="0.35"/>
  <cols>
    <col min="1" max="1" width="12.36328125" bestFit="1" customWidth="1"/>
    <col min="2" max="2" width="15.36328125" bestFit="1" customWidth="1"/>
  </cols>
  <sheetData>
    <row r="3" spans="1:2" x14ac:dyDescent="0.35">
      <c r="A3" s="3" t="s">
        <v>4283</v>
      </c>
      <c r="B3" t="s">
        <v>4286</v>
      </c>
    </row>
    <row r="4" spans="1:2" x14ac:dyDescent="0.35">
      <c r="A4" s="4" t="s">
        <v>4280</v>
      </c>
      <c r="B4">
        <v>250</v>
      </c>
    </row>
    <row r="5" spans="1:2" x14ac:dyDescent="0.35">
      <c r="A5" s="4" t="s">
        <v>4281</v>
      </c>
      <c r="B5">
        <v>228</v>
      </c>
    </row>
    <row r="6" spans="1:2" x14ac:dyDescent="0.35">
      <c r="A6" s="4" t="s">
        <v>4282</v>
      </c>
      <c r="B6">
        <v>241</v>
      </c>
    </row>
    <row r="7" spans="1:2" x14ac:dyDescent="0.35">
      <c r="A7" s="4" t="s">
        <v>4278</v>
      </c>
      <c r="B7">
        <v>259</v>
      </c>
    </row>
    <row r="8" spans="1:2" x14ac:dyDescent="0.35">
      <c r="A8" s="4" t="s">
        <v>4279</v>
      </c>
      <c r="B8">
        <v>222</v>
      </c>
    </row>
    <row r="9" spans="1:2" x14ac:dyDescent="0.35">
      <c r="A9" s="4" t="s">
        <v>4284</v>
      </c>
      <c r="B9">
        <v>1200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01"/>
  <sheetViews>
    <sheetView topLeftCell="J246" zoomScale="83" zoomScaleNormal="83" workbookViewId="0">
      <selection activeCell="Q262" sqref="Q262"/>
    </sheetView>
  </sheetViews>
  <sheetFormatPr defaultRowHeight="14.5" x14ac:dyDescent="0.35"/>
  <cols>
    <col min="1" max="1" width="10.54296875" bestFit="1" customWidth="1"/>
    <col min="2" max="2" width="10.08984375" bestFit="1" customWidth="1"/>
    <col min="3" max="3" width="10.81640625" bestFit="1" customWidth="1"/>
    <col min="4" max="4" width="7.6328125" bestFit="1" customWidth="1"/>
    <col min="5" max="5" width="8.1796875" bestFit="1" customWidth="1"/>
    <col min="6" max="6" width="8.453125" bestFit="1" customWidth="1"/>
    <col min="7" max="7" width="14.7265625" bestFit="1" customWidth="1"/>
    <col min="8" max="8" width="15.08984375" bestFit="1" customWidth="1"/>
    <col min="9" max="9" width="11" bestFit="1" customWidth="1"/>
    <col min="10" max="10" width="14.7265625" bestFit="1" customWidth="1"/>
    <col min="11" max="11" width="10.7265625" bestFit="1" customWidth="1"/>
    <col min="12" max="12" width="11.6328125" bestFit="1" customWidth="1"/>
    <col min="13" max="13" width="13.1796875" bestFit="1" customWidth="1"/>
    <col min="14" max="14" width="9.1796875" bestFit="1" customWidth="1"/>
    <col min="15" max="15" width="9.90625" bestFit="1" customWidth="1"/>
    <col min="16" max="17" width="12.36328125" bestFit="1" customWidth="1"/>
    <col min="18" max="18" width="15.54296875" bestFit="1" customWidth="1"/>
    <col min="20" max="20" width="10.7265625" bestFit="1" customWidth="1"/>
    <col min="21" max="21" width="15.36328125" bestFit="1" customWidth="1"/>
    <col min="22" max="22" width="13.1796875" bestFit="1" customWidth="1"/>
    <col min="23" max="24" width="15.453125" bestFit="1" customWidth="1"/>
    <col min="25" max="25" width="12.36328125" bestFit="1" customWidth="1"/>
    <col min="26" max="26" width="15.36328125" bestFit="1" customWidth="1"/>
    <col min="32" max="32" width="10.7265625" bestFit="1" customWidth="1"/>
    <col min="33" max="33" width="15.36328125" bestFit="1" customWidth="1"/>
    <col min="34" max="34" width="15.54296875" bestFit="1" customWidth="1"/>
    <col min="35" max="35" width="10.7265625" bestFit="1" customWidth="1"/>
    <col min="36" max="36" width="15.5429687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5" t="s">
        <v>4287</v>
      </c>
    </row>
    <row r="2" spans="1:18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  <c r="O2" t="str">
        <f>TEXT(B2, "mmmm")</f>
        <v>January</v>
      </c>
    </row>
    <row r="3" spans="1:18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  <c r="O3" t="str">
        <f t="shared" ref="O3:O66" si="0">TEXT(B3, "mmmm")</f>
        <v>August</v>
      </c>
    </row>
    <row r="4" spans="1:18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  <c r="O4" t="str">
        <f t="shared" si="0"/>
        <v>February</v>
      </c>
    </row>
    <row r="5" spans="1:18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  <c r="O5" t="str">
        <f t="shared" si="0"/>
        <v>October</v>
      </c>
    </row>
    <row r="6" spans="1:18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  <c r="O6" t="str">
        <f t="shared" si="0"/>
        <v>May</v>
      </c>
    </row>
    <row r="7" spans="1:18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  <c r="O7" t="str">
        <f t="shared" si="0"/>
        <v>October</v>
      </c>
    </row>
    <row r="8" spans="1:18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  <c r="O8" t="str">
        <f t="shared" si="0"/>
        <v>June</v>
      </c>
    </row>
    <row r="9" spans="1:18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  <c r="O9" t="str">
        <f t="shared" si="0"/>
        <v>May</v>
      </c>
    </row>
    <row r="10" spans="1:18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4300</v>
      </c>
      <c r="M10" t="s">
        <v>4280</v>
      </c>
      <c r="N10">
        <v>268.56</v>
      </c>
      <c r="O10" t="str">
        <f t="shared" si="0"/>
        <v>April</v>
      </c>
      <c r="Q10" s="3" t="s">
        <v>4283</v>
      </c>
      <c r="R10" t="s">
        <v>4286</v>
      </c>
    </row>
    <row r="11" spans="1:18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  <c r="O11" t="str">
        <f t="shared" si="0"/>
        <v>November</v>
      </c>
      <c r="Q11" s="4" t="s">
        <v>3066</v>
      </c>
      <c r="R11">
        <v>258</v>
      </c>
    </row>
    <row r="12" spans="1:18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  <c r="O12" t="str">
        <f t="shared" si="0"/>
        <v>December</v>
      </c>
      <c r="Q12" s="4" t="s">
        <v>3069</v>
      </c>
      <c r="R12">
        <v>246</v>
      </c>
    </row>
    <row r="13" spans="1:18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  <c r="O13" t="str">
        <f t="shared" si="0"/>
        <v>February</v>
      </c>
      <c r="Q13" s="4" t="s">
        <v>3067</v>
      </c>
      <c r="R13">
        <v>234</v>
      </c>
    </row>
    <row r="14" spans="1:18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  <c r="O14" t="str">
        <f t="shared" si="0"/>
        <v>October</v>
      </c>
      <c r="Q14" s="4" t="s">
        <v>3065</v>
      </c>
      <c r="R14">
        <v>232</v>
      </c>
    </row>
    <row r="15" spans="1:18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  <c r="O15" t="str">
        <f t="shared" si="0"/>
        <v>August</v>
      </c>
      <c r="Q15" s="4" t="s">
        <v>3068</v>
      </c>
      <c r="R15">
        <v>230</v>
      </c>
    </row>
    <row r="16" spans="1:18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  <c r="O16" t="str">
        <f t="shared" si="0"/>
        <v>March</v>
      </c>
      <c r="Q16" s="4" t="s">
        <v>4284</v>
      </c>
      <c r="R16">
        <v>1200</v>
      </c>
    </row>
    <row r="17" spans="1:15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4300</v>
      </c>
      <c r="M17" t="s">
        <v>4282</v>
      </c>
      <c r="N17">
        <v>473.96</v>
      </c>
      <c r="O17" t="str">
        <f t="shared" si="0"/>
        <v>July</v>
      </c>
    </row>
    <row r="18" spans="1:15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  <c r="O18" t="str">
        <f t="shared" si="0"/>
        <v>January</v>
      </c>
    </row>
    <row r="19" spans="1:15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4300</v>
      </c>
      <c r="M19" t="s">
        <v>4279</v>
      </c>
      <c r="N19">
        <v>423.4</v>
      </c>
      <c r="O19" t="str">
        <f t="shared" si="0"/>
        <v>March</v>
      </c>
    </row>
    <row r="20" spans="1:15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  <c r="O20" t="str">
        <f t="shared" si="0"/>
        <v>March</v>
      </c>
    </row>
    <row r="21" spans="1:15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  <c r="O21" t="str">
        <f t="shared" si="0"/>
        <v>January</v>
      </c>
    </row>
    <row r="22" spans="1:15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  <c r="O22" t="str">
        <f t="shared" si="0"/>
        <v>May</v>
      </c>
    </row>
    <row r="23" spans="1:15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4300</v>
      </c>
      <c r="M23" t="s">
        <v>4282</v>
      </c>
      <c r="N23">
        <v>1371.8</v>
      </c>
      <c r="O23" t="str">
        <f t="shared" si="0"/>
        <v>November</v>
      </c>
    </row>
    <row r="24" spans="1:15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  <c r="O24" t="str">
        <f t="shared" si="0"/>
        <v>January</v>
      </c>
    </row>
    <row r="25" spans="1:15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  <c r="O25" t="str">
        <f t="shared" si="0"/>
        <v>April</v>
      </c>
    </row>
    <row r="26" spans="1:15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  <c r="O26" t="str">
        <f t="shared" si="0"/>
        <v>October</v>
      </c>
    </row>
    <row r="27" spans="1:15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  <c r="O27" t="str">
        <f t="shared" si="0"/>
        <v>July</v>
      </c>
    </row>
    <row r="28" spans="1:15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4300</v>
      </c>
      <c r="M28" t="s">
        <v>4279</v>
      </c>
      <c r="N28">
        <v>297.75</v>
      </c>
      <c r="O28" t="str">
        <f t="shared" si="0"/>
        <v>March</v>
      </c>
    </row>
    <row r="29" spans="1:15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  <c r="O29" t="str">
        <f t="shared" si="0"/>
        <v>February</v>
      </c>
    </row>
    <row r="30" spans="1:15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4300</v>
      </c>
      <c r="M30" t="s">
        <v>4280</v>
      </c>
      <c r="N30">
        <v>640.28</v>
      </c>
      <c r="O30" t="str">
        <f t="shared" si="0"/>
        <v>November</v>
      </c>
    </row>
    <row r="31" spans="1:15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  <c r="O31" t="str">
        <f t="shared" si="0"/>
        <v>September</v>
      </c>
    </row>
    <row r="32" spans="1:15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  <c r="O32" t="str">
        <f t="shared" si="0"/>
        <v>March</v>
      </c>
    </row>
    <row r="33" spans="1:18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4300</v>
      </c>
      <c r="M33" t="s">
        <v>4281</v>
      </c>
      <c r="N33">
        <v>1500.24</v>
      </c>
      <c r="O33" t="str">
        <f t="shared" si="0"/>
        <v>June</v>
      </c>
    </row>
    <row r="34" spans="1:18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4300</v>
      </c>
      <c r="M34" t="s">
        <v>4280</v>
      </c>
      <c r="N34">
        <v>2683.6</v>
      </c>
      <c r="O34" t="str">
        <f t="shared" si="0"/>
        <v>May</v>
      </c>
    </row>
    <row r="35" spans="1:18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  <c r="O35" t="str">
        <f t="shared" si="0"/>
        <v>June</v>
      </c>
    </row>
    <row r="36" spans="1:18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  <c r="O36" t="str">
        <f t="shared" si="0"/>
        <v>January</v>
      </c>
    </row>
    <row r="37" spans="1:18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  <c r="O37" t="str">
        <f t="shared" si="0"/>
        <v>December</v>
      </c>
    </row>
    <row r="38" spans="1:18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4300</v>
      </c>
      <c r="M38" t="s">
        <v>4281</v>
      </c>
      <c r="N38">
        <v>1068.8599999999999</v>
      </c>
      <c r="O38" t="str">
        <f t="shared" si="0"/>
        <v>May</v>
      </c>
    </row>
    <row r="39" spans="1:18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  <c r="O39" t="str">
        <f t="shared" si="0"/>
        <v>October</v>
      </c>
      <c r="Q39" s="3" t="s">
        <v>4283</v>
      </c>
      <c r="R39" t="s">
        <v>4285</v>
      </c>
    </row>
    <row r="40" spans="1:18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  <c r="O40" t="str">
        <f t="shared" si="0"/>
        <v>December</v>
      </c>
      <c r="Q40" s="4" t="s">
        <v>4293</v>
      </c>
      <c r="R40">
        <v>170616.13000000006</v>
      </c>
    </row>
    <row r="41" spans="1:18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  <c r="O41" t="str">
        <f t="shared" si="0"/>
        <v>February</v>
      </c>
      <c r="Q41" s="4" t="s">
        <v>4292</v>
      </c>
      <c r="R41">
        <v>135142.59</v>
      </c>
    </row>
    <row r="42" spans="1:18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  <c r="O42" t="str">
        <f t="shared" si="0"/>
        <v>August</v>
      </c>
      <c r="Q42" s="4" t="s">
        <v>4288</v>
      </c>
      <c r="R42">
        <v>124313.23000000005</v>
      </c>
    </row>
    <row r="43" spans="1:18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  <c r="O43" t="str">
        <f t="shared" si="0"/>
        <v>December</v>
      </c>
      <c r="Q43" s="4" t="s">
        <v>4290</v>
      </c>
      <c r="R43">
        <v>123840.92999999995</v>
      </c>
    </row>
    <row r="44" spans="1:18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4300</v>
      </c>
      <c r="M44" t="s">
        <v>4278</v>
      </c>
      <c r="N44">
        <v>303.32</v>
      </c>
      <c r="O44" t="str">
        <f t="shared" si="0"/>
        <v>May</v>
      </c>
      <c r="Q44" s="4" t="s">
        <v>4289</v>
      </c>
      <c r="R44">
        <v>112344.77999999998</v>
      </c>
    </row>
    <row r="45" spans="1:18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4300</v>
      </c>
      <c r="M45" t="s">
        <v>4278</v>
      </c>
      <c r="N45">
        <v>1497.63</v>
      </c>
      <c r="O45" t="str">
        <f t="shared" si="0"/>
        <v>December</v>
      </c>
      <c r="Q45" s="4" t="s">
        <v>4291</v>
      </c>
      <c r="R45">
        <v>109186.05</v>
      </c>
    </row>
    <row r="46" spans="1:18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  <c r="O46" t="str">
        <f t="shared" si="0"/>
        <v>April</v>
      </c>
      <c r="Q46" s="4" t="s">
        <v>4297</v>
      </c>
      <c r="R46">
        <v>89834.820000000022</v>
      </c>
    </row>
    <row r="47" spans="1:18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  <c r="O47" t="str">
        <f t="shared" si="0"/>
        <v>February</v>
      </c>
      <c r="Q47" s="4" t="s">
        <v>4295</v>
      </c>
      <c r="R47">
        <v>86343.210000000036</v>
      </c>
    </row>
    <row r="48" spans="1:18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  <c r="O48" t="str">
        <f t="shared" si="0"/>
        <v>June</v>
      </c>
      <c r="Q48" s="4" t="s">
        <v>4294</v>
      </c>
      <c r="R48">
        <v>85784.63999999997</v>
      </c>
    </row>
    <row r="49" spans="1:18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  <c r="O49" t="str">
        <f t="shared" si="0"/>
        <v>July</v>
      </c>
      <c r="Q49" s="4" t="s">
        <v>4299</v>
      </c>
      <c r="R49">
        <v>82540.5</v>
      </c>
    </row>
    <row r="50" spans="1:18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4300</v>
      </c>
      <c r="M50" t="s">
        <v>4282</v>
      </c>
      <c r="N50">
        <v>161.54</v>
      </c>
      <c r="O50" t="str">
        <f t="shared" si="0"/>
        <v>August</v>
      </c>
      <c r="Q50" s="4" t="s">
        <v>4298</v>
      </c>
      <c r="R50">
        <v>75493.430000000008</v>
      </c>
    </row>
    <row r="51" spans="1:18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  <c r="O51" t="str">
        <f t="shared" si="0"/>
        <v>October</v>
      </c>
      <c r="Q51" s="4" t="s">
        <v>4296</v>
      </c>
      <c r="R51">
        <v>69321.650000000023</v>
      </c>
    </row>
    <row r="52" spans="1:18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  <c r="O52" t="str">
        <f t="shared" si="0"/>
        <v>July</v>
      </c>
      <c r="Q52" s="4" t="s">
        <v>4284</v>
      </c>
      <c r="R52">
        <v>1264761.96</v>
      </c>
    </row>
    <row r="53" spans="1:18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  <c r="O53" t="str">
        <f t="shared" si="0"/>
        <v>December</v>
      </c>
    </row>
    <row r="54" spans="1:18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  <c r="O54" t="str">
        <f t="shared" si="0"/>
        <v>September</v>
      </c>
    </row>
    <row r="55" spans="1:18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  <c r="O55" t="str">
        <f t="shared" si="0"/>
        <v>May</v>
      </c>
    </row>
    <row r="56" spans="1:18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  <c r="O56" t="str">
        <f t="shared" si="0"/>
        <v>March</v>
      </c>
    </row>
    <row r="57" spans="1:18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4300</v>
      </c>
      <c r="M57" t="s">
        <v>4281</v>
      </c>
      <c r="N57">
        <v>1033.2</v>
      </c>
      <c r="O57" t="str">
        <f t="shared" si="0"/>
        <v>June</v>
      </c>
    </row>
    <row r="58" spans="1:18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  <c r="O58" t="str">
        <f t="shared" si="0"/>
        <v>May</v>
      </c>
    </row>
    <row r="59" spans="1:18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  <c r="O59" t="str">
        <f t="shared" si="0"/>
        <v>January</v>
      </c>
    </row>
    <row r="60" spans="1:18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  <c r="O60" t="str">
        <f t="shared" si="0"/>
        <v>January</v>
      </c>
    </row>
    <row r="61" spans="1:18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4300</v>
      </c>
      <c r="M61" t="s">
        <v>4281</v>
      </c>
      <c r="N61">
        <v>2373.08</v>
      </c>
      <c r="O61" t="str">
        <f t="shared" si="0"/>
        <v>September</v>
      </c>
    </row>
    <row r="62" spans="1:18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  <c r="O62" t="str">
        <f t="shared" si="0"/>
        <v>August</v>
      </c>
    </row>
    <row r="63" spans="1:18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  <c r="O63" t="str">
        <f t="shared" si="0"/>
        <v>March</v>
      </c>
    </row>
    <row r="64" spans="1:18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  <c r="O64" t="str">
        <f t="shared" si="0"/>
        <v>August</v>
      </c>
    </row>
    <row r="65" spans="1:15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  <c r="O65" t="str">
        <f t="shared" si="0"/>
        <v>February</v>
      </c>
    </row>
    <row r="66" spans="1:15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  <c r="O66" t="str">
        <f t="shared" si="0"/>
        <v>June</v>
      </c>
    </row>
    <row r="67" spans="1:15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4300</v>
      </c>
      <c r="M67" t="s">
        <v>4278</v>
      </c>
      <c r="N67">
        <v>408.5</v>
      </c>
      <c r="O67" t="str">
        <f t="shared" ref="O67:O130" si="1">TEXT(B67, "mmmm")</f>
        <v>December</v>
      </c>
    </row>
    <row r="68" spans="1:15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  <c r="O68" t="str">
        <f t="shared" si="1"/>
        <v>November</v>
      </c>
    </row>
    <row r="69" spans="1:15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4300</v>
      </c>
      <c r="M69" t="s">
        <v>4282</v>
      </c>
      <c r="N69">
        <v>48.4</v>
      </c>
      <c r="O69" t="str">
        <f t="shared" si="1"/>
        <v>December</v>
      </c>
    </row>
    <row r="70" spans="1:15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  <c r="O70" t="str">
        <f t="shared" si="1"/>
        <v>December</v>
      </c>
    </row>
    <row r="71" spans="1:15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4300</v>
      </c>
      <c r="M71" t="s">
        <v>4279</v>
      </c>
      <c r="N71">
        <v>1435.95</v>
      </c>
      <c r="O71" t="str">
        <f t="shared" si="1"/>
        <v>May</v>
      </c>
    </row>
    <row r="72" spans="1:15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  <c r="O72" t="str">
        <f t="shared" si="1"/>
        <v>May</v>
      </c>
    </row>
    <row r="73" spans="1:15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4300</v>
      </c>
      <c r="M73" t="s">
        <v>4279</v>
      </c>
      <c r="N73">
        <v>1303.3499999999999</v>
      </c>
      <c r="O73" t="str">
        <f t="shared" si="1"/>
        <v>June</v>
      </c>
    </row>
    <row r="74" spans="1:15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4300</v>
      </c>
      <c r="M74" t="s">
        <v>4281</v>
      </c>
      <c r="N74">
        <v>2357.7600000000002</v>
      </c>
      <c r="O74" t="str">
        <f t="shared" si="1"/>
        <v>December</v>
      </c>
    </row>
    <row r="75" spans="1:15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4300</v>
      </c>
      <c r="M75" t="s">
        <v>4281</v>
      </c>
      <c r="N75">
        <v>1733.8</v>
      </c>
      <c r="O75" t="str">
        <f t="shared" si="1"/>
        <v>May</v>
      </c>
    </row>
    <row r="76" spans="1:15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4300</v>
      </c>
      <c r="M76" t="s">
        <v>4278</v>
      </c>
      <c r="N76">
        <v>454.35</v>
      </c>
      <c r="O76" t="str">
        <f t="shared" si="1"/>
        <v>June</v>
      </c>
    </row>
    <row r="77" spans="1:15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  <c r="O77" t="str">
        <f t="shared" si="1"/>
        <v>September</v>
      </c>
    </row>
    <row r="78" spans="1:15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  <c r="O78" t="str">
        <f t="shared" si="1"/>
        <v>March</v>
      </c>
    </row>
    <row r="79" spans="1:15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4300</v>
      </c>
      <c r="M79" t="s">
        <v>4282</v>
      </c>
      <c r="N79">
        <v>583.17999999999995</v>
      </c>
      <c r="O79" t="str">
        <f t="shared" si="1"/>
        <v>May</v>
      </c>
    </row>
    <row r="80" spans="1:15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  <c r="O80" t="str">
        <f t="shared" si="1"/>
        <v>August</v>
      </c>
    </row>
    <row r="81" spans="1:18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4300</v>
      </c>
      <c r="M81" t="s">
        <v>4281</v>
      </c>
      <c r="N81">
        <v>623.82000000000005</v>
      </c>
      <c r="O81" t="str">
        <f t="shared" si="1"/>
        <v>March</v>
      </c>
      <c r="Q81" s="3" t="s">
        <v>4283</v>
      </c>
      <c r="R81" t="s">
        <v>4286</v>
      </c>
    </row>
    <row r="82" spans="1:18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4300</v>
      </c>
      <c r="M82" t="s">
        <v>4281</v>
      </c>
      <c r="N82">
        <v>1768.68</v>
      </c>
      <c r="O82" t="str">
        <f t="shared" si="1"/>
        <v>June</v>
      </c>
      <c r="Q82" s="4" t="s">
        <v>4278</v>
      </c>
      <c r="R82">
        <v>259</v>
      </c>
    </row>
    <row r="83" spans="1:18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  <c r="O83" t="str">
        <f t="shared" si="1"/>
        <v>June</v>
      </c>
      <c r="Q83" s="4" t="s">
        <v>4280</v>
      </c>
      <c r="R83">
        <v>250</v>
      </c>
    </row>
    <row r="84" spans="1:18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  <c r="O84" t="str">
        <f t="shared" si="1"/>
        <v>January</v>
      </c>
      <c r="Q84" s="4" t="s">
        <v>4282</v>
      </c>
      <c r="R84">
        <v>241</v>
      </c>
    </row>
    <row r="85" spans="1:18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4300</v>
      </c>
      <c r="M85" t="s">
        <v>4279</v>
      </c>
      <c r="N85">
        <v>2161.64</v>
      </c>
      <c r="O85" t="str">
        <f t="shared" si="1"/>
        <v>August</v>
      </c>
      <c r="Q85" s="4" t="s">
        <v>4281</v>
      </c>
      <c r="R85">
        <v>228</v>
      </c>
    </row>
    <row r="86" spans="1:18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  <c r="O86" t="str">
        <f t="shared" si="1"/>
        <v>August</v>
      </c>
      <c r="Q86" s="4" t="s">
        <v>4279</v>
      </c>
      <c r="R86">
        <v>222</v>
      </c>
    </row>
    <row r="87" spans="1:18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  <c r="O87" t="str">
        <f t="shared" si="1"/>
        <v>September</v>
      </c>
      <c r="Q87" s="4" t="s">
        <v>4284</v>
      </c>
      <c r="R87">
        <v>1200</v>
      </c>
    </row>
    <row r="88" spans="1:18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  <c r="O88" t="str">
        <f t="shared" si="1"/>
        <v>June</v>
      </c>
    </row>
    <row r="89" spans="1:18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  <c r="O89" t="str">
        <f t="shared" si="1"/>
        <v>October</v>
      </c>
    </row>
    <row r="90" spans="1:18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4300</v>
      </c>
      <c r="M90" t="s">
        <v>4282</v>
      </c>
      <c r="N90">
        <v>344.43</v>
      </c>
      <c r="O90" t="str">
        <f t="shared" si="1"/>
        <v>June</v>
      </c>
    </row>
    <row r="91" spans="1:18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  <c r="O91" t="str">
        <f t="shared" si="1"/>
        <v>February</v>
      </c>
    </row>
    <row r="92" spans="1:18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  <c r="O92" t="str">
        <f t="shared" si="1"/>
        <v>September</v>
      </c>
    </row>
    <row r="93" spans="1:18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  <c r="O93" t="str">
        <f t="shared" si="1"/>
        <v>March</v>
      </c>
    </row>
    <row r="94" spans="1:18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  <c r="O94" t="str">
        <f t="shared" si="1"/>
        <v>June</v>
      </c>
    </row>
    <row r="95" spans="1:18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4300</v>
      </c>
      <c r="M95" t="s">
        <v>4279</v>
      </c>
      <c r="N95">
        <v>1724.04</v>
      </c>
      <c r="O95" t="str">
        <f t="shared" si="1"/>
        <v>January</v>
      </c>
    </row>
    <row r="96" spans="1:18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  <c r="O96" t="str">
        <f t="shared" si="1"/>
        <v>February</v>
      </c>
    </row>
    <row r="97" spans="1:15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4300</v>
      </c>
      <c r="M97" t="s">
        <v>4279</v>
      </c>
      <c r="N97">
        <v>470.04</v>
      </c>
      <c r="O97" t="str">
        <f t="shared" si="1"/>
        <v>March</v>
      </c>
    </row>
    <row r="98" spans="1:15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4300</v>
      </c>
      <c r="M98" t="s">
        <v>4278</v>
      </c>
      <c r="N98">
        <v>465.66</v>
      </c>
      <c r="O98" t="str">
        <f t="shared" si="1"/>
        <v>June</v>
      </c>
    </row>
    <row r="99" spans="1:15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4300</v>
      </c>
      <c r="M99" t="s">
        <v>4280</v>
      </c>
      <c r="N99">
        <v>3097.6</v>
      </c>
      <c r="O99" t="str">
        <f t="shared" si="1"/>
        <v>January</v>
      </c>
    </row>
    <row r="100" spans="1:15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4300</v>
      </c>
      <c r="M100" t="s">
        <v>4280</v>
      </c>
      <c r="N100">
        <v>457.08</v>
      </c>
      <c r="O100" t="str">
        <f t="shared" si="1"/>
        <v>January</v>
      </c>
    </row>
    <row r="101" spans="1:15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  <c r="O101" t="str">
        <f t="shared" si="1"/>
        <v>April</v>
      </c>
    </row>
    <row r="102" spans="1:15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4300</v>
      </c>
      <c r="M102" t="s">
        <v>4281</v>
      </c>
      <c r="N102">
        <v>1994.37</v>
      </c>
      <c r="O102" t="str">
        <f t="shared" si="1"/>
        <v>February</v>
      </c>
    </row>
    <row r="103" spans="1:15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4300</v>
      </c>
      <c r="M103" t="s">
        <v>4282</v>
      </c>
      <c r="N103">
        <v>381.02</v>
      </c>
      <c r="O103" t="str">
        <f t="shared" si="1"/>
        <v>November</v>
      </c>
    </row>
    <row r="104" spans="1:15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  <c r="O104" t="str">
        <f t="shared" si="1"/>
        <v>March</v>
      </c>
    </row>
    <row r="105" spans="1:15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  <c r="O105" t="str">
        <f t="shared" si="1"/>
        <v>January</v>
      </c>
    </row>
    <row r="106" spans="1:15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  <c r="O106" t="str">
        <f t="shared" si="1"/>
        <v>July</v>
      </c>
    </row>
    <row r="107" spans="1:15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4300</v>
      </c>
      <c r="M107" t="s">
        <v>4281</v>
      </c>
      <c r="N107">
        <v>556.20000000000005</v>
      </c>
      <c r="O107" t="str">
        <f t="shared" si="1"/>
        <v>October</v>
      </c>
    </row>
    <row r="108" spans="1:15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  <c r="O108" t="str">
        <f t="shared" si="1"/>
        <v>September</v>
      </c>
    </row>
    <row r="109" spans="1:15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  <c r="O109" t="str">
        <f t="shared" si="1"/>
        <v>March</v>
      </c>
    </row>
    <row r="110" spans="1:15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  <c r="O110" t="str">
        <f t="shared" si="1"/>
        <v>December</v>
      </c>
    </row>
    <row r="111" spans="1:15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  <c r="O111" t="str">
        <f t="shared" si="1"/>
        <v>September</v>
      </c>
    </row>
    <row r="112" spans="1:15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  <c r="O112" t="str">
        <f t="shared" si="1"/>
        <v>April</v>
      </c>
    </row>
    <row r="113" spans="1:18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  <c r="O113" t="str">
        <f t="shared" si="1"/>
        <v>May</v>
      </c>
    </row>
    <row r="114" spans="1:18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  <c r="O114" t="str">
        <f t="shared" si="1"/>
        <v>January</v>
      </c>
    </row>
    <row r="115" spans="1:18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  <c r="O115" t="str">
        <f t="shared" si="1"/>
        <v>January</v>
      </c>
    </row>
    <row r="116" spans="1:18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  <c r="O116" t="str">
        <f t="shared" si="1"/>
        <v>January</v>
      </c>
    </row>
    <row r="117" spans="1:18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  <c r="O117" t="str">
        <f t="shared" si="1"/>
        <v>November</v>
      </c>
    </row>
    <row r="118" spans="1:18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  <c r="O118" t="str">
        <f t="shared" si="1"/>
        <v>March</v>
      </c>
    </row>
    <row r="119" spans="1:18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  <c r="O119" t="str">
        <f t="shared" si="1"/>
        <v>March</v>
      </c>
    </row>
    <row r="120" spans="1:18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  <c r="O120" t="str">
        <f t="shared" si="1"/>
        <v>October</v>
      </c>
    </row>
    <row r="121" spans="1:18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  <c r="O121" t="str">
        <f t="shared" si="1"/>
        <v>June</v>
      </c>
      <c r="Q121" s="3" t="s">
        <v>4283</v>
      </c>
      <c r="R121" t="s">
        <v>4285</v>
      </c>
    </row>
    <row r="122" spans="1:18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  <c r="O122" t="str">
        <f t="shared" si="1"/>
        <v>April</v>
      </c>
      <c r="Q122" s="4" t="s">
        <v>4278</v>
      </c>
      <c r="R122">
        <v>275285.45000000007</v>
      </c>
    </row>
    <row r="123" spans="1:18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  <c r="O123" t="str">
        <f t="shared" si="1"/>
        <v>November</v>
      </c>
      <c r="Q123" s="4" t="s">
        <v>4280</v>
      </c>
      <c r="R123">
        <v>261808.55000000002</v>
      </c>
    </row>
    <row r="124" spans="1:18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4300</v>
      </c>
      <c r="M124" t="s">
        <v>4281</v>
      </c>
      <c r="N124">
        <v>1066.04</v>
      </c>
      <c r="O124" t="str">
        <f t="shared" si="1"/>
        <v>April</v>
      </c>
      <c r="Q124" s="4" t="s">
        <v>4282</v>
      </c>
      <c r="R124">
        <v>250441.47999999998</v>
      </c>
    </row>
    <row r="125" spans="1:18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4300</v>
      </c>
      <c r="M125" t="s">
        <v>4278</v>
      </c>
      <c r="N125">
        <v>834.12000000000012</v>
      </c>
      <c r="O125" t="str">
        <f t="shared" si="1"/>
        <v>July</v>
      </c>
      <c r="Q125" s="4" t="s">
        <v>4281</v>
      </c>
      <c r="R125">
        <v>250410.9</v>
      </c>
    </row>
    <row r="126" spans="1:18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4300</v>
      </c>
      <c r="M126" t="s">
        <v>4282</v>
      </c>
      <c r="N126">
        <v>1135.1600000000001</v>
      </c>
      <c r="O126" t="str">
        <f t="shared" si="1"/>
        <v>July</v>
      </c>
      <c r="Q126" s="4" t="s">
        <v>4279</v>
      </c>
      <c r="R126">
        <v>226815.5799999999</v>
      </c>
    </row>
    <row r="127" spans="1:18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  <c r="O127" t="str">
        <f t="shared" si="1"/>
        <v>November</v>
      </c>
      <c r="Q127" s="4" t="s">
        <v>4284</v>
      </c>
      <c r="R127">
        <v>1264761.96</v>
      </c>
    </row>
    <row r="128" spans="1:18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  <c r="O128" t="str">
        <f t="shared" si="1"/>
        <v>May</v>
      </c>
    </row>
    <row r="129" spans="1:15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4300</v>
      </c>
      <c r="M129" t="s">
        <v>4282</v>
      </c>
      <c r="N129">
        <v>1407.96</v>
      </c>
      <c r="O129" t="str">
        <f t="shared" si="1"/>
        <v>August</v>
      </c>
    </row>
    <row r="130" spans="1:15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  <c r="O130" t="str">
        <f t="shared" si="1"/>
        <v>February</v>
      </c>
    </row>
    <row r="131" spans="1:15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  <c r="O131" t="str">
        <f t="shared" ref="O131:O194" si="2">TEXT(B131, "mmmm")</f>
        <v>October</v>
      </c>
    </row>
    <row r="132" spans="1:15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  <c r="O132" t="str">
        <f t="shared" si="2"/>
        <v>January</v>
      </c>
    </row>
    <row r="133" spans="1:15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4300</v>
      </c>
      <c r="M133" t="s">
        <v>4278</v>
      </c>
      <c r="N133">
        <v>84.8</v>
      </c>
      <c r="O133" t="str">
        <f t="shared" si="2"/>
        <v>January</v>
      </c>
    </row>
    <row r="134" spans="1:15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  <c r="O134" t="str">
        <f t="shared" si="2"/>
        <v>March</v>
      </c>
    </row>
    <row r="135" spans="1:15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  <c r="O135" t="str">
        <f t="shared" si="2"/>
        <v>June</v>
      </c>
    </row>
    <row r="136" spans="1:15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4300</v>
      </c>
      <c r="M136" t="s">
        <v>4280</v>
      </c>
      <c r="N136">
        <v>399.4</v>
      </c>
      <c r="O136" t="str">
        <f t="shared" si="2"/>
        <v>June</v>
      </c>
    </row>
    <row r="137" spans="1:15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  <c r="O137" t="str">
        <f t="shared" si="2"/>
        <v>August</v>
      </c>
    </row>
    <row r="138" spans="1:15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  <c r="O138" t="str">
        <f t="shared" si="2"/>
        <v>April</v>
      </c>
    </row>
    <row r="139" spans="1:15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4300</v>
      </c>
      <c r="M139" t="s">
        <v>4282</v>
      </c>
      <c r="N139">
        <v>501.96</v>
      </c>
      <c r="O139" t="str">
        <f t="shared" si="2"/>
        <v>November</v>
      </c>
    </row>
    <row r="140" spans="1:15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  <c r="O140" t="str">
        <f t="shared" si="2"/>
        <v>December</v>
      </c>
    </row>
    <row r="141" spans="1:15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4300</v>
      </c>
      <c r="M141" t="s">
        <v>4280</v>
      </c>
      <c r="N141">
        <v>583.9</v>
      </c>
      <c r="O141" t="str">
        <f t="shared" si="2"/>
        <v>April</v>
      </c>
    </row>
    <row r="142" spans="1:15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  <c r="O142" t="str">
        <f t="shared" si="2"/>
        <v>May</v>
      </c>
    </row>
    <row r="143" spans="1:15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  <c r="O143" t="str">
        <f t="shared" si="2"/>
        <v>November</v>
      </c>
    </row>
    <row r="144" spans="1:15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  <c r="O144" t="str">
        <f t="shared" si="2"/>
        <v>September</v>
      </c>
    </row>
    <row r="145" spans="1:18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4300</v>
      </c>
      <c r="M145" t="s">
        <v>4279</v>
      </c>
      <c r="N145">
        <v>1600.28</v>
      </c>
      <c r="O145" t="str">
        <f t="shared" si="2"/>
        <v>June</v>
      </c>
    </row>
    <row r="146" spans="1:18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4300</v>
      </c>
      <c r="M146" t="s">
        <v>4281</v>
      </c>
      <c r="N146">
        <v>1098.9000000000001</v>
      </c>
      <c r="O146" t="str">
        <f t="shared" si="2"/>
        <v>August</v>
      </c>
    </row>
    <row r="147" spans="1:18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  <c r="O147" t="str">
        <f t="shared" si="2"/>
        <v>March</v>
      </c>
    </row>
    <row r="148" spans="1:18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4300</v>
      </c>
      <c r="M148" t="s">
        <v>4278</v>
      </c>
      <c r="N148">
        <v>822.98</v>
      </c>
      <c r="O148" t="str">
        <f t="shared" si="2"/>
        <v>April</v>
      </c>
    </row>
    <row r="149" spans="1:18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  <c r="O149" t="str">
        <f t="shared" si="2"/>
        <v>May</v>
      </c>
    </row>
    <row r="150" spans="1:18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  <c r="O150" t="str">
        <f t="shared" si="2"/>
        <v>December</v>
      </c>
    </row>
    <row r="151" spans="1:18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4300</v>
      </c>
      <c r="M151" t="s">
        <v>4281</v>
      </c>
      <c r="N151">
        <v>217.56</v>
      </c>
      <c r="O151" t="str">
        <f t="shared" si="2"/>
        <v>December</v>
      </c>
    </row>
    <row r="152" spans="1:18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  <c r="O152" t="str">
        <f t="shared" si="2"/>
        <v>December</v>
      </c>
    </row>
    <row r="153" spans="1:18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4300</v>
      </c>
      <c r="M153" t="s">
        <v>4280</v>
      </c>
      <c r="N153">
        <v>2223.8000000000002</v>
      </c>
      <c r="O153" t="str">
        <f t="shared" si="2"/>
        <v>December</v>
      </c>
    </row>
    <row r="154" spans="1:18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  <c r="O154" t="str">
        <f t="shared" si="2"/>
        <v>January</v>
      </c>
    </row>
    <row r="155" spans="1:18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  <c r="O155" t="str">
        <f t="shared" si="2"/>
        <v>December</v>
      </c>
    </row>
    <row r="156" spans="1:18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4300</v>
      </c>
      <c r="M156" t="s">
        <v>4278</v>
      </c>
      <c r="N156">
        <v>1632.84</v>
      </c>
      <c r="O156" t="str">
        <f t="shared" si="2"/>
        <v>July</v>
      </c>
    </row>
    <row r="157" spans="1:18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  <c r="O157" t="str">
        <f t="shared" si="2"/>
        <v>February</v>
      </c>
    </row>
    <row r="158" spans="1:18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  <c r="O158" t="str">
        <f t="shared" si="2"/>
        <v>November</v>
      </c>
    </row>
    <row r="159" spans="1:18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  <c r="O159" t="str">
        <f t="shared" si="2"/>
        <v>February</v>
      </c>
    </row>
    <row r="160" spans="1:18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  <c r="O160" t="str">
        <f t="shared" si="2"/>
        <v>May</v>
      </c>
      <c r="Q160" s="3" t="s">
        <v>4283</v>
      </c>
      <c r="R160" t="s">
        <v>4285</v>
      </c>
    </row>
    <row r="161" spans="1:18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  <c r="O161" t="str">
        <f t="shared" si="2"/>
        <v>October</v>
      </c>
      <c r="Q161" s="4" t="s">
        <v>3067</v>
      </c>
      <c r="R161">
        <v>263847.62999999989</v>
      </c>
    </row>
    <row r="162" spans="1:18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4300</v>
      </c>
      <c r="M162" t="s">
        <v>4279</v>
      </c>
      <c r="N162">
        <v>405.28</v>
      </c>
      <c r="O162" t="str">
        <f t="shared" si="2"/>
        <v>February</v>
      </c>
      <c r="Q162" s="4" t="s">
        <v>3066</v>
      </c>
      <c r="R162">
        <v>262442.94000000012</v>
      </c>
    </row>
    <row r="163" spans="1:18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  <c r="O163" t="str">
        <f t="shared" si="2"/>
        <v>March</v>
      </c>
      <c r="Q163" s="4" t="s">
        <v>3069</v>
      </c>
      <c r="R163">
        <v>259786.28999999992</v>
      </c>
    </row>
    <row r="164" spans="1:18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  <c r="O164" t="str">
        <f t="shared" si="2"/>
        <v>July</v>
      </c>
      <c r="Q164" s="4" t="s">
        <v>3068</v>
      </c>
      <c r="R164">
        <v>246323.9200000001</v>
      </c>
    </row>
    <row r="165" spans="1:18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4300</v>
      </c>
      <c r="M165" t="s">
        <v>4279</v>
      </c>
      <c r="N165">
        <v>641.39</v>
      </c>
      <c r="O165" t="str">
        <f t="shared" si="2"/>
        <v>June</v>
      </c>
      <c r="Q165" s="4" t="s">
        <v>3065</v>
      </c>
      <c r="R165">
        <v>232361.17999999996</v>
      </c>
    </row>
    <row r="166" spans="1:18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  <c r="O166" t="str">
        <f t="shared" si="2"/>
        <v>December</v>
      </c>
      <c r="Q166" s="4" t="s">
        <v>4284</v>
      </c>
      <c r="R166">
        <v>1264761.96</v>
      </c>
    </row>
    <row r="167" spans="1:18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  <c r="O167" t="str">
        <f t="shared" si="2"/>
        <v>September</v>
      </c>
    </row>
    <row r="168" spans="1:18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  <c r="O168" t="str">
        <f t="shared" si="2"/>
        <v>March</v>
      </c>
    </row>
    <row r="169" spans="1:18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  <c r="O169" t="str">
        <f t="shared" si="2"/>
        <v>May</v>
      </c>
    </row>
    <row r="170" spans="1:18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4300</v>
      </c>
      <c r="M170" t="s">
        <v>4281</v>
      </c>
      <c r="N170">
        <v>594.96</v>
      </c>
      <c r="O170" t="str">
        <f t="shared" si="2"/>
        <v>January</v>
      </c>
    </row>
    <row r="171" spans="1:18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  <c r="O171" t="str">
        <f t="shared" si="2"/>
        <v>April</v>
      </c>
    </row>
    <row r="172" spans="1:18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  <c r="O172" t="str">
        <f t="shared" si="2"/>
        <v>April</v>
      </c>
    </row>
    <row r="173" spans="1:18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  <c r="O173" t="str">
        <f t="shared" si="2"/>
        <v>August</v>
      </c>
    </row>
    <row r="174" spans="1:18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  <c r="O174" t="str">
        <f t="shared" si="2"/>
        <v>April</v>
      </c>
    </row>
    <row r="175" spans="1:18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  <c r="O175" t="str">
        <f t="shared" si="2"/>
        <v>March</v>
      </c>
    </row>
    <row r="176" spans="1:18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  <c r="O176" t="str">
        <f t="shared" si="2"/>
        <v>April</v>
      </c>
    </row>
    <row r="177" spans="1:15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  <c r="O177" t="str">
        <f t="shared" si="2"/>
        <v>February</v>
      </c>
    </row>
    <row r="178" spans="1:15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  <c r="O178" t="str">
        <f t="shared" si="2"/>
        <v>June</v>
      </c>
    </row>
    <row r="179" spans="1:15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4300</v>
      </c>
      <c r="M179" t="s">
        <v>4281</v>
      </c>
      <c r="N179">
        <v>2158.4499999999998</v>
      </c>
      <c r="O179" t="str">
        <f t="shared" si="2"/>
        <v>August</v>
      </c>
    </row>
    <row r="180" spans="1:15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  <c r="O180" t="str">
        <f t="shared" si="2"/>
        <v>April</v>
      </c>
    </row>
    <row r="181" spans="1:15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4300</v>
      </c>
      <c r="M181" t="s">
        <v>4280</v>
      </c>
      <c r="N181">
        <v>1619.73</v>
      </c>
      <c r="O181" t="str">
        <f t="shared" si="2"/>
        <v>November</v>
      </c>
    </row>
    <row r="182" spans="1:15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4300</v>
      </c>
      <c r="M182" t="s">
        <v>4282</v>
      </c>
      <c r="N182">
        <v>1580.35</v>
      </c>
      <c r="O182" t="str">
        <f t="shared" si="2"/>
        <v>March</v>
      </c>
    </row>
    <row r="183" spans="1:15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4300</v>
      </c>
      <c r="M183" t="s">
        <v>4279</v>
      </c>
      <c r="N183">
        <v>2021.95</v>
      </c>
      <c r="O183" t="str">
        <f t="shared" si="2"/>
        <v>August</v>
      </c>
    </row>
    <row r="184" spans="1:15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  <c r="O184" t="str">
        <f t="shared" si="2"/>
        <v>March</v>
      </c>
    </row>
    <row r="185" spans="1:15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  <c r="O185" t="str">
        <f t="shared" si="2"/>
        <v>April</v>
      </c>
    </row>
    <row r="186" spans="1:15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4300</v>
      </c>
      <c r="M186" t="s">
        <v>4279</v>
      </c>
      <c r="N186">
        <v>858.16</v>
      </c>
      <c r="O186" t="str">
        <f t="shared" si="2"/>
        <v>April</v>
      </c>
    </row>
    <row r="187" spans="1:15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  <c r="O187" t="str">
        <f t="shared" si="2"/>
        <v>February</v>
      </c>
    </row>
    <row r="188" spans="1:15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  <c r="O188" t="str">
        <f t="shared" si="2"/>
        <v>December</v>
      </c>
    </row>
    <row r="189" spans="1:15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  <c r="O189" t="str">
        <f t="shared" si="2"/>
        <v>February</v>
      </c>
    </row>
    <row r="190" spans="1:15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  <c r="O190" t="str">
        <f t="shared" si="2"/>
        <v>March</v>
      </c>
    </row>
    <row r="191" spans="1:15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  <c r="O191" t="str">
        <f t="shared" si="2"/>
        <v>July</v>
      </c>
    </row>
    <row r="192" spans="1:15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  <c r="O192" t="str">
        <f t="shared" si="2"/>
        <v>August</v>
      </c>
    </row>
    <row r="193" spans="1:15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  <c r="O193" t="str">
        <f t="shared" si="2"/>
        <v>March</v>
      </c>
    </row>
    <row r="194" spans="1:15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  <c r="O194" t="str">
        <f t="shared" si="2"/>
        <v>August</v>
      </c>
    </row>
    <row r="195" spans="1:15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4300</v>
      </c>
      <c r="M195" t="s">
        <v>4282</v>
      </c>
      <c r="N195">
        <v>46.66</v>
      </c>
      <c r="O195" t="str">
        <f t="shared" ref="O195:O258" si="3">TEXT(B195, "mmmm")</f>
        <v>July</v>
      </c>
    </row>
    <row r="196" spans="1:15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  <c r="O196" t="str">
        <f t="shared" si="3"/>
        <v>June</v>
      </c>
    </row>
    <row r="197" spans="1:15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4300</v>
      </c>
      <c r="M197" t="s">
        <v>4280</v>
      </c>
      <c r="N197">
        <v>1857.63</v>
      </c>
      <c r="O197" t="str">
        <f t="shared" si="3"/>
        <v>April</v>
      </c>
    </row>
    <row r="198" spans="1:15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  <c r="O198" t="str">
        <f t="shared" si="3"/>
        <v>January</v>
      </c>
    </row>
    <row r="199" spans="1:15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  <c r="O199" t="str">
        <f t="shared" si="3"/>
        <v>August</v>
      </c>
    </row>
    <row r="200" spans="1:15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  <c r="O200" t="str">
        <f t="shared" si="3"/>
        <v>June</v>
      </c>
    </row>
    <row r="201" spans="1:15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  <c r="O201" t="str">
        <f t="shared" si="3"/>
        <v>January</v>
      </c>
    </row>
    <row r="202" spans="1:15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  <c r="O202" t="str">
        <f t="shared" si="3"/>
        <v>June</v>
      </c>
    </row>
    <row r="203" spans="1:15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  <c r="O203" t="str">
        <f t="shared" si="3"/>
        <v>June</v>
      </c>
    </row>
    <row r="204" spans="1:15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  <c r="O204" t="str">
        <f t="shared" si="3"/>
        <v>February</v>
      </c>
    </row>
    <row r="205" spans="1:15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  <c r="O205" t="str">
        <f t="shared" si="3"/>
        <v>January</v>
      </c>
    </row>
    <row r="206" spans="1:15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  <c r="O206" t="str">
        <f t="shared" si="3"/>
        <v>September</v>
      </c>
    </row>
    <row r="207" spans="1:15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4300</v>
      </c>
      <c r="M207" t="s">
        <v>4280</v>
      </c>
      <c r="N207">
        <v>442.17</v>
      </c>
      <c r="O207" t="str">
        <f t="shared" si="3"/>
        <v>March</v>
      </c>
    </row>
    <row r="208" spans="1:15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  <c r="O208" t="str">
        <f t="shared" si="3"/>
        <v>April</v>
      </c>
    </row>
    <row r="209" spans="1:15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4300</v>
      </c>
      <c r="M209" t="s">
        <v>4282</v>
      </c>
      <c r="N209">
        <v>121.96</v>
      </c>
      <c r="O209" t="str">
        <f t="shared" si="3"/>
        <v>March</v>
      </c>
    </row>
    <row r="210" spans="1:15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  <c r="O210" t="str">
        <f t="shared" si="3"/>
        <v>October</v>
      </c>
    </row>
    <row r="211" spans="1:15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  <c r="O211" t="str">
        <f t="shared" si="3"/>
        <v>August</v>
      </c>
    </row>
    <row r="212" spans="1:15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  <c r="O212" t="str">
        <f t="shared" si="3"/>
        <v>December</v>
      </c>
    </row>
    <row r="213" spans="1:15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  <c r="O213" t="str">
        <f t="shared" si="3"/>
        <v>January</v>
      </c>
    </row>
    <row r="214" spans="1:15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  <c r="O214" t="str">
        <f t="shared" si="3"/>
        <v>June</v>
      </c>
    </row>
    <row r="215" spans="1:15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  <c r="O215" t="str">
        <f t="shared" si="3"/>
        <v>April</v>
      </c>
    </row>
    <row r="216" spans="1:15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4300</v>
      </c>
      <c r="M216" t="s">
        <v>4281</v>
      </c>
      <c r="N216">
        <v>1222.8800000000001</v>
      </c>
      <c r="O216" t="str">
        <f t="shared" si="3"/>
        <v>August</v>
      </c>
    </row>
    <row r="217" spans="1:15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  <c r="O217" t="str">
        <f t="shared" si="3"/>
        <v>August</v>
      </c>
    </row>
    <row r="218" spans="1:15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  <c r="O218" t="str">
        <f t="shared" si="3"/>
        <v>April</v>
      </c>
    </row>
    <row r="219" spans="1:15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4300</v>
      </c>
      <c r="M219" t="s">
        <v>4282</v>
      </c>
      <c r="N219">
        <v>1286.04</v>
      </c>
      <c r="O219" t="str">
        <f t="shared" si="3"/>
        <v>May</v>
      </c>
    </row>
    <row r="220" spans="1:15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  <c r="O220" t="str">
        <f t="shared" si="3"/>
        <v>April</v>
      </c>
    </row>
    <row r="221" spans="1:15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  <c r="O221" t="str">
        <f t="shared" si="3"/>
        <v>May</v>
      </c>
    </row>
    <row r="222" spans="1:15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  <c r="O222" t="str">
        <f t="shared" si="3"/>
        <v>July</v>
      </c>
    </row>
    <row r="223" spans="1:15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  <c r="O223" t="str">
        <f t="shared" si="3"/>
        <v>February</v>
      </c>
    </row>
    <row r="224" spans="1:15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4300</v>
      </c>
      <c r="M224" t="s">
        <v>4278</v>
      </c>
      <c r="N224">
        <v>2773.44</v>
      </c>
      <c r="O224" t="str">
        <f t="shared" si="3"/>
        <v>May</v>
      </c>
    </row>
    <row r="225" spans="1:15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  <c r="O225" t="str">
        <f t="shared" si="3"/>
        <v>September</v>
      </c>
    </row>
    <row r="226" spans="1:15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  <c r="O226" t="str">
        <f t="shared" si="3"/>
        <v>September</v>
      </c>
    </row>
    <row r="227" spans="1:15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  <c r="O227" t="str">
        <f t="shared" si="3"/>
        <v>March</v>
      </c>
    </row>
    <row r="228" spans="1:15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4300</v>
      </c>
      <c r="M228" t="s">
        <v>4278</v>
      </c>
      <c r="N228">
        <v>1764.15</v>
      </c>
      <c r="O228" t="str">
        <f t="shared" si="3"/>
        <v>June</v>
      </c>
    </row>
    <row r="229" spans="1:15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  <c r="O229" t="str">
        <f t="shared" si="3"/>
        <v>November</v>
      </c>
    </row>
    <row r="230" spans="1:15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4300</v>
      </c>
      <c r="M230" t="s">
        <v>4278</v>
      </c>
      <c r="N230">
        <v>1543.68</v>
      </c>
      <c r="O230" t="str">
        <f t="shared" si="3"/>
        <v>May</v>
      </c>
    </row>
    <row r="231" spans="1:15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  <c r="O231" t="str">
        <f t="shared" si="3"/>
        <v>March</v>
      </c>
    </row>
    <row r="232" spans="1:15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  <c r="O232" t="str">
        <f t="shared" si="3"/>
        <v>December</v>
      </c>
    </row>
    <row r="233" spans="1:15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  <c r="O233" t="str">
        <f t="shared" si="3"/>
        <v>November</v>
      </c>
    </row>
    <row r="234" spans="1:15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  <c r="O234" t="str">
        <f t="shared" si="3"/>
        <v>May</v>
      </c>
    </row>
    <row r="235" spans="1:15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  <c r="O235" t="str">
        <f t="shared" si="3"/>
        <v>August</v>
      </c>
    </row>
    <row r="236" spans="1:15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  <c r="O236" t="str">
        <f t="shared" si="3"/>
        <v>November</v>
      </c>
    </row>
    <row r="237" spans="1:15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  <c r="O237" t="str">
        <f t="shared" si="3"/>
        <v>February</v>
      </c>
    </row>
    <row r="238" spans="1:15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  <c r="O238" t="str">
        <f t="shared" si="3"/>
        <v>January</v>
      </c>
    </row>
    <row r="239" spans="1:15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  <c r="O239" t="str">
        <f t="shared" si="3"/>
        <v>March</v>
      </c>
    </row>
    <row r="240" spans="1:15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  <c r="O240" t="str">
        <f t="shared" si="3"/>
        <v>December</v>
      </c>
    </row>
    <row r="241" spans="1:15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  <c r="O241" t="str">
        <f t="shared" si="3"/>
        <v>December</v>
      </c>
    </row>
    <row r="242" spans="1:15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  <c r="O242" t="str">
        <f t="shared" si="3"/>
        <v>July</v>
      </c>
    </row>
    <row r="243" spans="1:15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  <c r="O243" t="str">
        <f t="shared" si="3"/>
        <v>May</v>
      </c>
    </row>
    <row r="244" spans="1:15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  <c r="O244" t="str">
        <f t="shared" si="3"/>
        <v>May</v>
      </c>
    </row>
    <row r="245" spans="1:15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  <c r="O245" t="str">
        <f t="shared" si="3"/>
        <v>May</v>
      </c>
    </row>
    <row r="246" spans="1:15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  <c r="O246" t="str">
        <f t="shared" si="3"/>
        <v>February</v>
      </c>
    </row>
    <row r="247" spans="1:15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4300</v>
      </c>
      <c r="M247" t="s">
        <v>4281</v>
      </c>
      <c r="N247">
        <v>223.3</v>
      </c>
      <c r="O247" t="str">
        <f t="shared" si="3"/>
        <v>April</v>
      </c>
    </row>
    <row r="248" spans="1:15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  <c r="O248" t="str">
        <f t="shared" si="3"/>
        <v>August</v>
      </c>
    </row>
    <row r="249" spans="1:15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4300</v>
      </c>
      <c r="M249" t="s">
        <v>4280</v>
      </c>
      <c r="N249">
        <v>441.8</v>
      </c>
      <c r="O249" t="str">
        <f t="shared" si="3"/>
        <v>July</v>
      </c>
    </row>
    <row r="250" spans="1:15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  <c r="O250" t="str">
        <f t="shared" si="3"/>
        <v>July</v>
      </c>
    </row>
    <row r="251" spans="1:15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  <c r="O251" t="str">
        <f t="shared" si="3"/>
        <v>February</v>
      </c>
    </row>
    <row r="252" spans="1:15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  <c r="O252" t="str">
        <f t="shared" si="3"/>
        <v>April</v>
      </c>
    </row>
    <row r="253" spans="1:15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4300</v>
      </c>
      <c r="M253" t="s">
        <v>4280</v>
      </c>
      <c r="N253">
        <v>58.76</v>
      </c>
      <c r="O253" t="str">
        <f t="shared" si="3"/>
        <v>May</v>
      </c>
    </row>
    <row r="254" spans="1:15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  <c r="O254" t="str">
        <f t="shared" si="3"/>
        <v>September</v>
      </c>
    </row>
    <row r="255" spans="1:15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  <c r="O255" t="str">
        <f t="shared" si="3"/>
        <v>March</v>
      </c>
    </row>
    <row r="256" spans="1:15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4300</v>
      </c>
      <c r="M256" t="s">
        <v>4278</v>
      </c>
      <c r="N256">
        <v>789.56999999999994</v>
      </c>
      <c r="O256" t="str">
        <f t="shared" si="3"/>
        <v>December</v>
      </c>
    </row>
    <row r="257" spans="1:15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  <c r="O257" t="str">
        <f t="shared" si="3"/>
        <v>May</v>
      </c>
    </row>
    <row r="258" spans="1:15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  <c r="O258" t="str">
        <f t="shared" si="3"/>
        <v>June</v>
      </c>
    </row>
    <row r="259" spans="1:15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  <c r="O259" t="str">
        <f t="shared" ref="O259:O322" si="4">TEXT(B259, "mmmm")</f>
        <v>April</v>
      </c>
    </row>
    <row r="260" spans="1:15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  <c r="O260" t="str">
        <f t="shared" si="4"/>
        <v>February</v>
      </c>
    </row>
    <row r="261" spans="1:15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  <c r="O261" t="str">
        <f t="shared" si="4"/>
        <v>June</v>
      </c>
    </row>
    <row r="262" spans="1:15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4300</v>
      </c>
      <c r="M262" t="s">
        <v>4282</v>
      </c>
      <c r="N262">
        <v>815.58</v>
      </c>
      <c r="O262" t="str">
        <f t="shared" si="4"/>
        <v>May</v>
      </c>
    </row>
    <row r="263" spans="1:15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  <c r="O263" t="str">
        <f t="shared" si="4"/>
        <v>May</v>
      </c>
    </row>
    <row r="264" spans="1:15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  <c r="O264" t="str">
        <f t="shared" si="4"/>
        <v>January</v>
      </c>
    </row>
    <row r="265" spans="1:15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  <c r="O265" t="str">
        <f t="shared" si="4"/>
        <v>March</v>
      </c>
    </row>
    <row r="266" spans="1:15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  <c r="O266" t="str">
        <f t="shared" si="4"/>
        <v>August</v>
      </c>
    </row>
    <row r="267" spans="1:15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  <c r="O267" t="str">
        <f t="shared" si="4"/>
        <v>December</v>
      </c>
    </row>
    <row r="268" spans="1:15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  <c r="O268" t="str">
        <f t="shared" si="4"/>
        <v>June</v>
      </c>
    </row>
    <row r="269" spans="1:15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4300</v>
      </c>
      <c r="M269" t="s">
        <v>4281</v>
      </c>
      <c r="N269">
        <v>2342.5500000000002</v>
      </c>
      <c r="O269" t="str">
        <f t="shared" si="4"/>
        <v>April</v>
      </c>
    </row>
    <row r="270" spans="1:15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  <c r="O270" t="str">
        <f t="shared" si="4"/>
        <v>August</v>
      </c>
    </row>
    <row r="271" spans="1:15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  <c r="O271" t="str">
        <f t="shared" si="4"/>
        <v>November</v>
      </c>
    </row>
    <row r="272" spans="1:15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  <c r="O272" t="str">
        <f t="shared" si="4"/>
        <v>June</v>
      </c>
    </row>
    <row r="273" spans="1:15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  <c r="O273" t="str">
        <f t="shared" si="4"/>
        <v>March</v>
      </c>
    </row>
    <row r="274" spans="1:15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  <c r="O274" t="str">
        <f t="shared" si="4"/>
        <v>September</v>
      </c>
    </row>
    <row r="275" spans="1:15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  <c r="O275" t="str">
        <f t="shared" si="4"/>
        <v>October</v>
      </c>
    </row>
    <row r="276" spans="1:15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  <c r="O276" t="str">
        <f t="shared" si="4"/>
        <v>February</v>
      </c>
    </row>
    <row r="277" spans="1:15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  <c r="O277" t="str">
        <f t="shared" si="4"/>
        <v>November</v>
      </c>
    </row>
    <row r="278" spans="1:15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  <c r="O278" t="str">
        <f t="shared" si="4"/>
        <v>March</v>
      </c>
    </row>
    <row r="279" spans="1:15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  <c r="O279" t="str">
        <f t="shared" si="4"/>
        <v>September</v>
      </c>
    </row>
    <row r="280" spans="1:15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  <c r="O280" t="str">
        <f t="shared" si="4"/>
        <v>November</v>
      </c>
    </row>
    <row r="281" spans="1:15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  <c r="O281" t="str">
        <f t="shared" si="4"/>
        <v>October</v>
      </c>
    </row>
    <row r="282" spans="1:15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  <c r="O282" t="str">
        <f t="shared" si="4"/>
        <v>March</v>
      </c>
    </row>
    <row r="283" spans="1:15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4300</v>
      </c>
      <c r="M283" t="s">
        <v>4279</v>
      </c>
      <c r="N283">
        <v>2619.16</v>
      </c>
      <c r="O283" t="str">
        <f t="shared" si="4"/>
        <v>July</v>
      </c>
    </row>
    <row r="284" spans="1:15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  <c r="O284" t="str">
        <f t="shared" si="4"/>
        <v>April</v>
      </c>
    </row>
    <row r="285" spans="1:15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4300</v>
      </c>
      <c r="M285" t="s">
        <v>4282</v>
      </c>
      <c r="N285">
        <v>2161.3200000000002</v>
      </c>
      <c r="O285" t="str">
        <f t="shared" si="4"/>
        <v>February</v>
      </c>
    </row>
    <row r="286" spans="1:15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  <c r="O286" t="str">
        <f t="shared" si="4"/>
        <v>February</v>
      </c>
    </row>
    <row r="287" spans="1:15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4300</v>
      </c>
      <c r="M287" t="s">
        <v>4282</v>
      </c>
      <c r="N287">
        <v>338.31</v>
      </c>
      <c r="O287" t="str">
        <f t="shared" si="4"/>
        <v>June</v>
      </c>
    </row>
    <row r="288" spans="1:15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  <c r="O288" t="str">
        <f t="shared" si="4"/>
        <v>April</v>
      </c>
    </row>
    <row r="289" spans="1:15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4300</v>
      </c>
      <c r="M289" t="s">
        <v>4281</v>
      </c>
      <c r="N289">
        <v>2620.7199999999998</v>
      </c>
      <c r="O289" t="str">
        <f t="shared" si="4"/>
        <v>November</v>
      </c>
    </row>
    <row r="290" spans="1:15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  <c r="O290" t="str">
        <f t="shared" si="4"/>
        <v>March</v>
      </c>
    </row>
    <row r="291" spans="1:15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  <c r="O291" t="str">
        <f t="shared" si="4"/>
        <v>July</v>
      </c>
    </row>
    <row r="292" spans="1:15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  <c r="O292" t="str">
        <f t="shared" si="4"/>
        <v>May</v>
      </c>
    </row>
    <row r="293" spans="1:15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  <c r="O293" t="str">
        <f t="shared" si="4"/>
        <v>May</v>
      </c>
    </row>
    <row r="294" spans="1:15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4300</v>
      </c>
      <c r="M294" t="s">
        <v>4281</v>
      </c>
      <c r="N294">
        <v>65.95</v>
      </c>
      <c r="O294" t="str">
        <f t="shared" si="4"/>
        <v>January</v>
      </c>
    </row>
    <row r="295" spans="1:15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4300</v>
      </c>
      <c r="M295" t="s">
        <v>4278</v>
      </c>
      <c r="N295">
        <v>1852.16</v>
      </c>
      <c r="O295" t="str">
        <f t="shared" si="4"/>
        <v>February</v>
      </c>
    </row>
    <row r="296" spans="1:15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  <c r="O296" t="str">
        <f t="shared" si="4"/>
        <v>April</v>
      </c>
    </row>
    <row r="297" spans="1:15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  <c r="O297" t="str">
        <f t="shared" si="4"/>
        <v>January</v>
      </c>
    </row>
    <row r="298" spans="1:15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  <c r="O298" t="str">
        <f t="shared" si="4"/>
        <v>June</v>
      </c>
    </row>
    <row r="299" spans="1:15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  <c r="O299" t="str">
        <f t="shared" si="4"/>
        <v>February</v>
      </c>
    </row>
    <row r="300" spans="1:15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4300</v>
      </c>
      <c r="M300" t="s">
        <v>4280</v>
      </c>
      <c r="N300">
        <v>1204.68</v>
      </c>
      <c r="O300" t="str">
        <f t="shared" si="4"/>
        <v>December</v>
      </c>
    </row>
    <row r="301" spans="1:15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  <c r="O301" t="str">
        <f t="shared" si="4"/>
        <v>January</v>
      </c>
    </row>
    <row r="302" spans="1:15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  <c r="O302" t="str">
        <f t="shared" si="4"/>
        <v>September</v>
      </c>
    </row>
    <row r="303" spans="1:15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  <c r="O303" t="str">
        <f t="shared" si="4"/>
        <v>May</v>
      </c>
    </row>
    <row r="304" spans="1:15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  <c r="O304" t="str">
        <f t="shared" si="4"/>
        <v>May</v>
      </c>
    </row>
    <row r="305" spans="1:15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4300</v>
      </c>
      <c r="M305" t="s">
        <v>4282</v>
      </c>
      <c r="N305">
        <v>30.54</v>
      </c>
      <c r="O305" t="str">
        <f t="shared" si="4"/>
        <v>December</v>
      </c>
    </row>
    <row r="306" spans="1:15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  <c r="O306" t="str">
        <f t="shared" si="4"/>
        <v>October</v>
      </c>
    </row>
    <row r="307" spans="1:15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  <c r="O307" t="str">
        <f t="shared" si="4"/>
        <v>November</v>
      </c>
    </row>
    <row r="308" spans="1:15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  <c r="O308" t="str">
        <f t="shared" si="4"/>
        <v>June</v>
      </c>
    </row>
    <row r="309" spans="1:15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4300</v>
      </c>
      <c r="M309" t="s">
        <v>4280</v>
      </c>
      <c r="N309">
        <v>1672.23</v>
      </c>
      <c r="O309" t="str">
        <f t="shared" si="4"/>
        <v>July</v>
      </c>
    </row>
    <row r="310" spans="1:15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  <c r="O310" t="str">
        <f t="shared" si="4"/>
        <v>December</v>
      </c>
    </row>
    <row r="311" spans="1:15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  <c r="O311" t="str">
        <f t="shared" si="4"/>
        <v>October</v>
      </c>
    </row>
    <row r="312" spans="1:15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4300</v>
      </c>
      <c r="M312" t="s">
        <v>4279</v>
      </c>
      <c r="N312">
        <v>397.43999999999988</v>
      </c>
      <c r="O312" t="str">
        <f t="shared" si="4"/>
        <v>February</v>
      </c>
    </row>
    <row r="313" spans="1:15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4300</v>
      </c>
      <c r="M313" t="s">
        <v>4278</v>
      </c>
      <c r="N313">
        <v>2446.85</v>
      </c>
      <c r="O313" t="str">
        <f t="shared" si="4"/>
        <v>May</v>
      </c>
    </row>
    <row r="314" spans="1:15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  <c r="O314" t="str">
        <f t="shared" si="4"/>
        <v>May</v>
      </c>
    </row>
    <row r="315" spans="1:15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  <c r="O315" t="str">
        <f t="shared" si="4"/>
        <v>July</v>
      </c>
    </row>
    <row r="316" spans="1:15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  <c r="O316" t="str">
        <f t="shared" si="4"/>
        <v>October</v>
      </c>
    </row>
    <row r="317" spans="1:15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  <c r="O317" t="str">
        <f t="shared" si="4"/>
        <v>May</v>
      </c>
    </row>
    <row r="318" spans="1:15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  <c r="O318" t="str">
        <f t="shared" si="4"/>
        <v>October</v>
      </c>
    </row>
    <row r="319" spans="1:15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4300</v>
      </c>
      <c r="M319" t="s">
        <v>4278</v>
      </c>
      <c r="N319">
        <v>279.89999999999998</v>
      </c>
      <c r="O319" t="str">
        <f t="shared" si="4"/>
        <v>April</v>
      </c>
    </row>
    <row r="320" spans="1:15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  <c r="O320" t="str">
        <f t="shared" si="4"/>
        <v>July</v>
      </c>
    </row>
    <row r="321" spans="1:15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4300</v>
      </c>
      <c r="M321" t="s">
        <v>4278</v>
      </c>
      <c r="N321">
        <v>1126.1199999999999</v>
      </c>
      <c r="O321" t="str">
        <f t="shared" si="4"/>
        <v>December</v>
      </c>
    </row>
    <row r="322" spans="1:15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  <c r="O322" t="str">
        <f t="shared" si="4"/>
        <v>December</v>
      </c>
    </row>
    <row r="323" spans="1:15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  <c r="O323" t="str">
        <f t="shared" ref="O323:O386" si="5">TEXT(B323, "mmmm")</f>
        <v>August</v>
      </c>
    </row>
    <row r="324" spans="1:15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  <c r="O324" t="str">
        <f t="shared" si="5"/>
        <v>June</v>
      </c>
    </row>
    <row r="325" spans="1:15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  <c r="O325" t="str">
        <f t="shared" si="5"/>
        <v>January</v>
      </c>
    </row>
    <row r="326" spans="1:15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4300</v>
      </c>
      <c r="M326" t="s">
        <v>4279</v>
      </c>
      <c r="N326">
        <v>212.79</v>
      </c>
      <c r="O326" t="str">
        <f t="shared" si="5"/>
        <v>June</v>
      </c>
    </row>
    <row r="327" spans="1:15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4300</v>
      </c>
      <c r="M327" t="s">
        <v>4279</v>
      </c>
      <c r="N327">
        <v>1084.17</v>
      </c>
      <c r="O327" t="str">
        <f t="shared" si="5"/>
        <v>June</v>
      </c>
    </row>
    <row r="328" spans="1:15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  <c r="O328" t="str">
        <f t="shared" si="5"/>
        <v>July</v>
      </c>
    </row>
    <row r="329" spans="1:15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  <c r="O329" t="str">
        <f t="shared" si="5"/>
        <v>July</v>
      </c>
    </row>
    <row r="330" spans="1:15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  <c r="O330" t="str">
        <f t="shared" si="5"/>
        <v>February</v>
      </c>
    </row>
    <row r="331" spans="1:15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4300</v>
      </c>
      <c r="M331" t="s">
        <v>4282</v>
      </c>
      <c r="N331">
        <v>1132.6400000000001</v>
      </c>
      <c r="O331" t="str">
        <f t="shared" si="5"/>
        <v>December</v>
      </c>
    </row>
    <row r="332" spans="1:15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  <c r="O332" t="str">
        <f t="shared" si="5"/>
        <v>June</v>
      </c>
    </row>
    <row r="333" spans="1:15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  <c r="O333" t="str">
        <f t="shared" si="5"/>
        <v>April</v>
      </c>
    </row>
    <row r="334" spans="1:15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  <c r="O334" t="str">
        <f t="shared" si="5"/>
        <v>July</v>
      </c>
    </row>
    <row r="335" spans="1:15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  <c r="O335" t="str">
        <f t="shared" si="5"/>
        <v>April</v>
      </c>
    </row>
    <row r="336" spans="1:15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  <c r="O336" t="str">
        <f t="shared" si="5"/>
        <v>March</v>
      </c>
    </row>
    <row r="337" spans="1:15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4300</v>
      </c>
      <c r="M337" t="s">
        <v>4280</v>
      </c>
      <c r="N337">
        <v>617.58000000000004</v>
      </c>
      <c r="O337" t="str">
        <f t="shared" si="5"/>
        <v>March</v>
      </c>
    </row>
    <row r="338" spans="1:15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  <c r="O338" t="str">
        <f t="shared" si="5"/>
        <v>December</v>
      </c>
    </row>
    <row r="339" spans="1:15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  <c r="O339" t="str">
        <f t="shared" si="5"/>
        <v>May</v>
      </c>
    </row>
    <row r="340" spans="1:15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4300</v>
      </c>
      <c r="M340" t="s">
        <v>4279</v>
      </c>
      <c r="N340">
        <v>1527.45</v>
      </c>
      <c r="O340" t="str">
        <f t="shared" si="5"/>
        <v>November</v>
      </c>
    </row>
    <row r="341" spans="1:15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  <c r="O341" t="str">
        <f t="shared" si="5"/>
        <v>April</v>
      </c>
    </row>
    <row r="342" spans="1:15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4300</v>
      </c>
      <c r="M342" t="s">
        <v>4280</v>
      </c>
      <c r="N342">
        <v>2606.25</v>
      </c>
      <c r="O342" t="str">
        <f t="shared" si="5"/>
        <v>April</v>
      </c>
    </row>
    <row r="343" spans="1:15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  <c r="O343" t="str">
        <f t="shared" si="5"/>
        <v>September</v>
      </c>
    </row>
    <row r="344" spans="1:15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4300</v>
      </c>
      <c r="M344" t="s">
        <v>4279</v>
      </c>
      <c r="N344">
        <v>2332.1</v>
      </c>
      <c r="O344" t="str">
        <f t="shared" si="5"/>
        <v>June</v>
      </c>
    </row>
    <row r="345" spans="1:15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  <c r="O345" t="str">
        <f t="shared" si="5"/>
        <v>February</v>
      </c>
    </row>
    <row r="346" spans="1:15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  <c r="O346" t="str">
        <f t="shared" si="5"/>
        <v>March</v>
      </c>
    </row>
    <row r="347" spans="1:15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  <c r="O347" t="str">
        <f t="shared" si="5"/>
        <v>December</v>
      </c>
    </row>
    <row r="348" spans="1:15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4300</v>
      </c>
      <c r="M348" t="s">
        <v>4279</v>
      </c>
      <c r="N348">
        <v>655.09</v>
      </c>
      <c r="O348" t="str">
        <f t="shared" si="5"/>
        <v>December</v>
      </c>
    </row>
    <row r="349" spans="1:15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  <c r="O349" t="str">
        <f t="shared" si="5"/>
        <v>February</v>
      </c>
    </row>
    <row r="350" spans="1:15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  <c r="O350" t="str">
        <f t="shared" si="5"/>
        <v>March</v>
      </c>
    </row>
    <row r="351" spans="1:15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  <c r="O351" t="str">
        <f t="shared" si="5"/>
        <v>November</v>
      </c>
    </row>
    <row r="352" spans="1:15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4300</v>
      </c>
      <c r="M352" t="s">
        <v>4278</v>
      </c>
      <c r="N352">
        <v>108.82</v>
      </c>
      <c r="O352" t="str">
        <f t="shared" si="5"/>
        <v>June</v>
      </c>
    </row>
    <row r="353" spans="1:15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4300</v>
      </c>
      <c r="M353" t="s">
        <v>4278</v>
      </c>
      <c r="N353">
        <v>64.66</v>
      </c>
      <c r="O353" t="str">
        <f t="shared" si="5"/>
        <v>February</v>
      </c>
    </row>
    <row r="354" spans="1:15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  <c r="O354" t="str">
        <f t="shared" si="5"/>
        <v>August</v>
      </c>
    </row>
    <row r="355" spans="1:15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  <c r="O355" t="str">
        <f t="shared" si="5"/>
        <v>March</v>
      </c>
    </row>
    <row r="356" spans="1:15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4300</v>
      </c>
      <c r="M356" t="s">
        <v>4278</v>
      </c>
      <c r="N356">
        <v>693.41</v>
      </c>
      <c r="O356" t="str">
        <f t="shared" si="5"/>
        <v>July</v>
      </c>
    </row>
    <row r="357" spans="1:15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  <c r="O357" t="str">
        <f t="shared" si="5"/>
        <v>June</v>
      </c>
    </row>
    <row r="358" spans="1:15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  <c r="O358" t="str">
        <f t="shared" si="5"/>
        <v>May</v>
      </c>
    </row>
    <row r="359" spans="1:15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  <c r="O359" t="str">
        <f t="shared" si="5"/>
        <v>July</v>
      </c>
    </row>
    <row r="360" spans="1:15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  <c r="O360" t="str">
        <f t="shared" si="5"/>
        <v>April</v>
      </c>
    </row>
    <row r="361" spans="1:15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  <c r="O361" t="str">
        <f t="shared" si="5"/>
        <v>June</v>
      </c>
    </row>
    <row r="362" spans="1:15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4300</v>
      </c>
      <c r="M362" t="s">
        <v>4278</v>
      </c>
      <c r="N362">
        <v>2358.2800000000002</v>
      </c>
      <c r="O362" t="str">
        <f t="shared" si="5"/>
        <v>June</v>
      </c>
    </row>
    <row r="363" spans="1:15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  <c r="O363" t="str">
        <f t="shared" si="5"/>
        <v>June</v>
      </c>
    </row>
    <row r="364" spans="1:15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  <c r="O364" t="str">
        <f t="shared" si="5"/>
        <v>June</v>
      </c>
    </row>
    <row r="365" spans="1:15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  <c r="O365" t="str">
        <f t="shared" si="5"/>
        <v>May</v>
      </c>
    </row>
    <row r="366" spans="1:15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  <c r="O366" t="str">
        <f t="shared" si="5"/>
        <v>November</v>
      </c>
    </row>
    <row r="367" spans="1:15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  <c r="O367" t="str">
        <f t="shared" si="5"/>
        <v>February</v>
      </c>
    </row>
    <row r="368" spans="1:15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4300</v>
      </c>
      <c r="M368" t="s">
        <v>4279</v>
      </c>
      <c r="N368">
        <v>1806.72</v>
      </c>
      <c r="O368" t="str">
        <f t="shared" si="5"/>
        <v>February</v>
      </c>
    </row>
    <row r="369" spans="1:15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  <c r="O369" t="str">
        <f t="shared" si="5"/>
        <v>April</v>
      </c>
    </row>
    <row r="370" spans="1:15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4300</v>
      </c>
      <c r="M370" t="s">
        <v>4282</v>
      </c>
      <c r="N370">
        <v>813.06</v>
      </c>
      <c r="O370" t="str">
        <f t="shared" si="5"/>
        <v>May</v>
      </c>
    </row>
    <row r="371" spans="1:15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  <c r="O371" t="str">
        <f t="shared" si="5"/>
        <v>December</v>
      </c>
    </row>
    <row r="372" spans="1:15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  <c r="O372" t="str">
        <f t="shared" si="5"/>
        <v>May</v>
      </c>
    </row>
    <row r="373" spans="1:15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  <c r="O373" t="str">
        <f t="shared" si="5"/>
        <v>January</v>
      </c>
    </row>
    <row r="374" spans="1:15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4300</v>
      </c>
      <c r="M374" t="s">
        <v>4279</v>
      </c>
      <c r="N374">
        <v>1450.59</v>
      </c>
      <c r="O374" t="str">
        <f t="shared" si="5"/>
        <v>February</v>
      </c>
    </row>
    <row r="375" spans="1:15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  <c r="O375" t="str">
        <f t="shared" si="5"/>
        <v>January</v>
      </c>
    </row>
    <row r="376" spans="1:15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  <c r="O376" t="str">
        <f t="shared" si="5"/>
        <v>September</v>
      </c>
    </row>
    <row r="377" spans="1:15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  <c r="O377" t="str">
        <f t="shared" si="5"/>
        <v>January</v>
      </c>
    </row>
    <row r="378" spans="1:15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  <c r="O378" t="str">
        <f t="shared" si="5"/>
        <v>August</v>
      </c>
    </row>
    <row r="379" spans="1:15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  <c r="O379" t="str">
        <f t="shared" si="5"/>
        <v>July</v>
      </c>
    </row>
    <row r="380" spans="1:15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  <c r="O380" t="str">
        <f t="shared" si="5"/>
        <v>February</v>
      </c>
    </row>
    <row r="381" spans="1:15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4300</v>
      </c>
      <c r="M381" t="s">
        <v>4282</v>
      </c>
      <c r="N381">
        <v>893.01</v>
      </c>
      <c r="O381" t="str">
        <f t="shared" si="5"/>
        <v>September</v>
      </c>
    </row>
    <row r="382" spans="1:15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  <c r="O382" t="str">
        <f t="shared" si="5"/>
        <v>April</v>
      </c>
    </row>
    <row r="383" spans="1:15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  <c r="O383" t="str">
        <f t="shared" si="5"/>
        <v>June</v>
      </c>
    </row>
    <row r="384" spans="1:15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  <c r="O384" t="str">
        <f t="shared" si="5"/>
        <v>January</v>
      </c>
    </row>
    <row r="385" spans="1:15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  <c r="O385" t="str">
        <f t="shared" si="5"/>
        <v>January</v>
      </c>
    </row>
    <row r="386" spans="1:15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  <c r="O386" t="str">
        <f t="shared" si="5"/>
        <v>November</v>
      </c>
    </row>
    <row r="387" spans="1:15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  <c r="O387" t="str">
        <f t="shared" ref="O387:O450" si="6">TEXT(B387, "mmmm")</f>
        <v>October</v>
      </c>
    </row>
    <row r="388" spans="1:15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4300</v>
      </c>
      <c r="M388" t="s">
        <v>4280</v>
      </c>
      <c r="N388">
        <v>93.02</v>
      </c>
      <c r="O388" t="str">
        <f t="shared" si="6"/>
        <v>April</v>
      </c>
    </row>
    <row r="389" spans="1:15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  <c r="O389" t="str">
        <f t="shared" si="6"/>
        <v>June</v>
      </c>
    </row>
    <row r="390" spans="1:15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  <c r="O390" t="str">
        <f t="shared" si="6"/>
        <v>December</v>
      </c>
    </row>
    <row r="391" spans="1:15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  <c r="O391" t="str">
        <f t="shared" si="6"/>
        <v>December</v>
      </c>
    </row>
    <row r="392" spans="1:15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  <c r="O392" t="str">
        <f t="shared" si="6"/>
        <v>July</v>
      </c>
    </row>
    <row r="393" spans="1:15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  <c r="O393" t="str">
        <f t="shared" si="6"/>
        <v>January</v>
      </c>
    </row>
    <row r="394" spans="1:15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  <c r="O394" t="str">
        <f t="shared" si="6"/>
        <v>February</v>
      </c>
    </row>
    <row r="395" spans="1:15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4300</v>
      </c>
      <c r="M395" t="s">
        <v>4282</v>
      </c>
      <c r="N395">
        <v>75.010000000000005</v>
      </c>
      <c r="O395" t="str">
        <f t="shared" si="6"/>
        <v>July</v>
      </c>
    </row>
    <row r="396" spans="1:15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4300</v>
      </c>
      <c r="M396" t="s">
        <v>4281</v>
      </c>
      <c r="N396">
        <v>2647.75</v>
      </c>
      <c r="O396" t="str">
        <f t="shared" si="6"/>
        <v>July</v>
      </c>
    </row>
    <row r="397" spans="1:15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  <c r="O397" t="str">
        <f t="shared" si="6"/>
        <v>April</v>
      </c>
    </row>
    <row r="398" spans="1:15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  <c r="O398" t="str">
        <f t="shared" si="6"/>
        <v>December</v>
      </c>
    </row>
    <row r="399" spans="1:15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  <c r="O399" t="str">
        <f t="shared" si="6"/>
        <v>September</v>
      </c>
    </row>
    <row r="400" spans="1:15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  <c r="O400" t="str">
        <f t="shared" si="6"/>
        <v>September</v>
      </c>
    </row>
    <row r="401" spans="1:15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  <c r="O401" t="str">
        <f t="shared" si="6"/>
        <v>January</v>
      </c>
    </row>
    <row r="402" spans="1:15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  <c r="O402" t="str">
        <f t="shared" si="6"/>
        <v>September</v>
      </c>
    </row>
    <row r="403" spans="1:15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4300</v>
      </c>
      <c r="M403" t="s">
        <v>4279</v>
      </c>
      <c r="N403">
        <v>538.67999999999995</v>
      </c>
      <c r="O403" t="str">
        <f t="shared" si="6"/>
        <v>April</v>
      </c>
    </row>
    <row r="404" spans="1:15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4300</v>
      </c>
      <c r="M404" t="s">
        <v>4279</v>
      </c>
      <c r="N404">
        <v>1686.9</v>
      </c>
      <c r="O404" t="str">
        <f t="shared" si="6"/>
        <v>April</v>
      </c>
    </row>
    <row r="405" spans="1:15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  <c r="O405" t="str">
        <f t="shared" si="6"/>
        <v>November</v>
      </c>
    </row>
    <row r="406" spans="1:15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4300</v>
      </c>
      <c r="M406" t="s">
        <v>4278</v>
      </c>
      <c r="N406">
        <v>198.2</v>
      </c>
      <c r="O406" t="str">
        <f t="shared" si="6"/>
        <v>March</v>
      </c>
    </row>
    <row r="407" spans="1:15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  <c r="O407" t="str">
        <f t="shared" si="6"/>
        <v>January</v>
      </c>
    </row>
    <row r="408" spans="1:15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  <c r="O408" t="str">
        <f t="shared" si="6"/>
        <v>December</v>
      </c>
    </row>
    <row r="409" spans="1:15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  <c r="O409" t="str">
        <f t="shared" si="6"/>
        <v>August</v>
      </c>
    </row>
    <row r="410" spans="1:15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  <c r="O410" t="str">
        <f t="shared" si="6"/>
        <v>January</v>
      </c>
    </row>
    <row r="411" spans="1:15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  <c r="O411" t="str">
        <f t="shared" si="6"/>
        <v>June</v>
      </c>
    </row>
    <row r="412" spans="1:15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4300</v>
      </c>
      <c r="M412" t="s">
        <v>4280</v>
      </c>
      <c r="N412">
        <v>1036.46</v>
      </c>
      <c r="O412" t="str">
        <f t="shared" si="6"/>
        <v>January</v>
      </c>
    </row>
    <row r="413" spans="1:15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4300</v>
      </c>
      <c r="M413" t="s">
        <v>4281</v>
      </c>
      <c r="N413">
        <v>79.02</v>
      </c>
      <c r="O413" t="str">
        <f t="shared" si="6"/>
        <v>June</v>
      </c>
    </row>
    <row r="414" spans="1:15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4300</v>
      </c>
      <c r="M414" t="s">
        <v>4281</v>
      </c>
      <c r="N414">
        <v>665.05</v>
      </c>
      <c r="O414" t="str">
        <f t="shared" si="6"/>
        <v>April</v>
      </c>
    </row>
    <row r="415" spans="1:15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  <c r="O415" t="str">
        <f t="shared" si="6"/>
        <v>October</v>
      </c>
    </row>
    <row r="416" spans="1:15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  <c r="O416" t="str">
        <f t="shared" si="6"/>
        <v>May</v>
      </c>
    </row>
    <row r="417" spans="1:15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  <c r="O417" t="str">
        <f t="shared" si="6"/>
        <v>April</v>
      </c>
    </row>
    <row r="418" spans="1:15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  <c r="O418" t="str">
        <f t="shared" si="6"/>
        <v>July</v>
      </c>
    </row>
    <row r="419" spans="1:15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4300</v>
      </c>
      <c r="M419" t="s">
        <v>4282</v>
      </c>
      <c r="N419">
        <v>277.05</v>
      </c>
      <c r="O419" t="str">
        <f t="shared" si="6"/>
        <v>October</v>
      </c>
    </row>
    <row r="420" spans="1:15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4300</v>
      </c>
      <c r="M420" t="s">
        <v>4281</v>
      </c>
      <c r="N420">
        <v>310.93</v>
      </c>
      <c r="O420" t="str">
        <f t="shared" si="6"/>
        <v>January</v>
      </c>
    </row>
    <row r="421" spans="1:15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  <c r="O421" t="str">
        <f t="shared" si="6"/>
        <v>April</v>
      </c>
    </row>
    <row r="422" spans="1:15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  <c r="O422" t="str">
        <f t="shared" si="6"/>
        <v>November</v>
      </c>
    </row>
    <row r="423" spans="1:15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4300</v>
      </c>
      <c r="M423" t="s">
        <v>4280</v>
      </c>
      <c r="N423">
        <v>576.41999999999996</v>
      </c>
      <c r="O423" t="str">
        <f t="shared" si="6"/>
        <v>October</v>
      </c>
    </row>
    <row r="424" spans="1:15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  <c r="O424" t="str">
        <f t="shared" si="6"/>
        <v>June</v>
      </c>
    </row>
    <row r="425" spans="1:15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  <c r="O425" t="str">
        <f t="shared" si="6"/>
        <v>July</v>
      </c>
    </row>
    <row r="426" spans="1:15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4300</v>
      </c>
      <c r="M426" t="s">
        <v>4280</v>
      </c>
      <c r="N426">
        <v>114.7</v>
      </c>
      <c r="O426" t="str">
        <f t="shared" si="6"/>
        <v>April</v>
      </c>
    </row>
    <row r="427" spans="1:15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  <c r="O427" t="str">
        <f t="shared" si="6"/>
        <v>March</v>
      </c>
    </row>
    <row r="428" spans="1:15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4300</v>
      </c>
      <c r="M428" t="s">
        <v>4281</v>
      </c>
      <c r="N428">
        <v>287.25</v>
      </c>
      <c r="O428" t="str">
        <f t="shared" si="6"/>
        <v>March</v>
      </c>
    </row>
    <row r="429" spans="1:15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  <c r="O429" t="str">
        <f t="shared" si="6"/>
        <v>December</v>
      </c>
    </row>
    <row r="430" spans="1:15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  <c r="O430" t="str">
        <f t="shared" si="6"/>
        <v>November</v>
      </c>
    </row>
    <row r="431" spans="1:15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  <c r="O431" t="str">
        <f t="shared" si="6"/>
        <v>December</v>
      </c>
    </row>
    <row r="432" spans="1:15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  <c r="O432" t="str">
        <f t="shared" si="6"/>
        <v>June</v>
      </c>
    </row>
    <row r="433" spans="1:15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  <c r="O433" t="str">
        <f t="shared" si="6"/>
        <v>October</v>
      </c>
    </row>
    <row r="434" spans="1:15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4300</v>
      </c>
      <c r="M434" t="s">
        <v>4279</v>
      </c>
      <c r="N434">
        <v>848.64</v>
      </c>
      <c r="O434" t="str">
        <f t="shared" si="6"/>
        <v>September</v>
      </c>
    </row>
    <row r="435" spans="1:15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  <c r="O435" t="str">
        <f t="shared" si="6"/>
        <v>August</v>
      </c>
    </row>
    <row r="436" spans="1:15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4300</v>
      </c>
      <c r="M436" t="s">
        <v>4281</v>
      </c>
      <c r="N436">
        <v>1638.4</v>
      </c>
      <c r="O436" t="str">
        <f t="shared" si="6"/>
        <v>October</v>
      </c>
    </row>
    <row r="437" spans="1:15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  <c r="O437" t="str">
        <f t="shared" si="6"/>
        <v>May</v>
      </c>
    </row>
    <row r="438" spans="1:15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4300</v>
      </c>
      <c r="M438" t="s">
        <v>4282</v>
      </c>
      <c r="N438">
        <v>885.32</v>
      </c>
      <c r="O438" t="str">
        <f t="shared" si="6"/>
        <v>February</v>
      </c>
    </row>
    <row r="439" spans="1:15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  <c r="O439" t="str">
        <f t="shared" si="6"/>
        <v>April</v>
      </c>
    </row>
    <row r="440" spans="1:15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  <c r="O440" t="str">
        <f t="shared" si="6"/>
        <v>January</v>
      </c>
    </row>
    <row r="441" spans="1:15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  <c r="O441" t="str">
        <f t="shared" si="6"/>
        <v>September</v>
      </c>
    </row>
    <row r="442" spans="1:15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  <c r="O442" t="str">
        <f t="shared" si="6"/>
        <v>November</v>
      </c>
    </row>
    <row r="443" spans="1:15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  <c r="O443" t="str">
        <f t="shared" si="6"/>
        <v>December</v>
      </c>
    </row>
    <row r="444" spans="1:15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  <c r="O444" t="str">
        <f t="shared" si="6"/>
        <v>May</v>
      </c>
    </row>
    <row r="445" spans="1:15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4300</v>
      </c>
      <c r="M445" t="s">
        <v>4281</v>
      </c>
      <c r="N445">
        <v>139.28</v>
      </c>
      <c r="O445" t="str">
        <f t="shared" si="6"/>
        <v>May</v>
      </c>
    </row>
    <row r="446" spans="1:15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  <c r="O446" t="str">
        <f t="shared" si="6"/>
        <v>June</v>
      </c>
    </row>
    <row r="447" spans="1:15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  <c r="O447" t="str">
        <f t="shared" si="6"/>
        <v>March</v>
      </c>
    </row>
    <row r="448" spans="1:15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  <c r="O448" t="str">
        <f t="shared" si="6"/>
        <v>October</v>
      </c>
    </row>
    <row r="449" spans="1:15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4300</v>
      </c>
      <c r="M449" t="s">
        <v>4281</v>
      </c>
      <c r="N449">
        <v>833.62</v>
      </c>
      <c r="O449" t="str">
        <f t="shared" si="6"/>
        <v>April</v>
      </c>
    </row>
    <row r="450" spans="1:15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  <c r="O450" t="str">
        <f t="shared" si="6"/>
        <v>September</v>
      </c>
    </row>
    <row r="451" spans="1:15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4300</v>
      </c>
      <c r="M451" t="s">
        <v>4278</v>
      </c>
      <c r="N451">
        <v>759.15000000000009</v>
      </c>
      <c r="O451" t="str">
        <f t="shared" ref="O451:O514" si="7">TEXT(B451, "mmmm")</f>
        <v>August</v>
      </c>
    </row>
    <row r="452" spans="1:15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  <c r="O452" t="str">
        <f t="shared" si="7"/>
        <v>January</v>
      </c>
    </row>
    <row r="453" spans="1:15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  <c r="O453" t="str">
        <f t="shared" si="7"/>
        <v>April</v>
      </c>
    </row>
    <row r="454" spans="1:15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  <c r="O454" t="str">
        <f t="shared" si="7"/>
        <v>July</v>
      </c>
    </row>
    <row r="455" spans="1:15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  <c r="O455" t="str">
        <f t="shared" si="7"/>
        <v>May</v>
      </c>
    </row>
    <row r="456" spans="1:15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  <c r="O456" t="str">
        <f t="shared" si="7"/>
        <v>November</v>
      </c>
    </row>
    <row r="457" spans="1:15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  <c r="O457" t="str">
        <f t="shared" si="7"/>
        <v>March</v>
      </c>
    </row>
    <row r="458" spans="1:15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  <c r="O458" t="str">
        <f t="shared" si="7"/>
        <v>June</v>
      </c>
    </row>
    <row r="459" spans="1:15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  <c r="O459" t="str">
        <f t="shared" si="7"/>
        <v>May</v>
      </c>
    </row>
    <row r="460" spans="1:15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  <c r="O460" t="str">
        <f t="shared" si="7"/>
        <v>July</v>
      </c>
    </row>
    <row r="461" spans="1:15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4300</v>
      </c>
      <c r="M461" t="s">
        <v>4278</v>
      </c>
      <c r="N461">
        <v>334.39</v>
      </c>
      <c r="O461" t="str">
        <f t="shared" si="7"/>
        <v>July</v>
      </c>
    </row>
    <row r="462" spans="1:15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  <c r="O462" t="str">
        <f t="shared" si="7"/>
        <v>October</v>
      </c>
    </row>
    <row r="463" spans="1:15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  <c r="O463" t="str">
        <f t="shared" si="7"/>
        <v>June</v>
      </c>
    </row>
    <row r="464" spans="1:15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4300</v>
      </c>
      <c r="M464" t="s">
        <v>4279</v>
      </c>
      <c r="N464">
        <v>252.68</v>
      </c>
      <c r="O464" t="str">
        <f t="shared" si="7"/>
        <v>March</v>
      </c>
    </row>
    <row r="465" spans="1:15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  <c r="O465" t="str">
        <f t="shared" si="7"/>
        <v>May</v>
      </c>
    </row>
    <row r="466" spans="1:15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  <c r="O466" t="str">
        <f t="shared" si="7"/>
        <v>March</v>
      </c>
    </row>
    <row r="467" spans="1:15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4300</v>
      </c>
      <c r="M467" t="s">
        <v>4282</v>
      </c>
      <c r="N467">
        <v>2567.4499999999998</v>
      </c>
      <c r="O467" t="str">
        <f t="shared" si="7"/>
        <v>February</v>
      </c>
    </row>
    <row r="468" spans="1:15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  <c r="O468" t="str">
        <f t="shared" si="7"/>
        <v>July</v>
      </c>
    </row>
    <row r="469" spans="1:15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  <c r="O469" t="str">
        <f t="shared" si="7"/>
        <v>August</v>
      </c>
    </row>
    <row r="470" spans="1:15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  <c r="O470" t="str">
        <f t="shared" si="7"/>
        <v>June</v>
      </c>
    </row>
    <row r="471" spans="1:15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4300</v>
      </c>
      <c r="M471" t="s">
        <v>4281</v>
      </c>
      <c r="N471">
        <v>3384.9</v>
      </c>
      <c r="O471" t="str">
        <f t="shared" si="7"/>
        <v>November</v>
      </c>
    </row>
    <row r="472" spans="1:15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  <c r="O472" t="str">
        <f t="shared" si="7"/>
        <v>September</v>
      </c>
    </row>
    <row r="473" spans="1:15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  <c r="O473" t="str">
        <f t="shared" si="7"/>
        <v>April</v>
      </c>
    </row>
    <row r="474" spans="1:15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  <c r="O474" t="str">
        <f t="shared" si="7"/>
        <v>January</v>
      </c>
    </row>
    <row r="475" spans="1:15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4300</v>
      </c>
      <c r="M475" t="s">
        <v>4281</v>
      </c>
      <c r="N475">
        <v>29.86</v>
      </c>
      <c r="O475" t="str">
        <f t="shared" si="7"/>
        <v>February</v>
      </c>
    </row>
    <row r="476" spans="1:15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  <c r="O476" t="str">
        <f t="shared" si="7"/>
        <v>November</v>
      </c>
    </row>
    <row r="477" spans="1:15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  <c r="O477" t="str">
        <f t="shared" si="7"/>
        <v>April</v>
      </c>
    </row>
    <row r="478" spans="1:15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  <c r="O478" t="str">
        <f t="shared" si="7"/>
        <v>January</v>
      </c>
    </row>
    <row r="479" spans="1:15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  <c r="O479" t="str">
        <f t="shared" si="7"/>
        <v>March</v>
      </c>
    </row>
    <row r="480" spans="1:15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  <c r="O480" t="str">
        <f t="shared" si="7"/>
        <v>November</v>
      </c>
    </row>
    <row r="481" spans="1:15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4300</v>
      </c>
      <c r="M481" t="s">
        <v>4282</v>
      </c>
      <c r="N481">
        <v>101.16</v>
      </c>
      <c r="O481" t="str">
        <f t="shared" si="7"/>
        <v>February</v>
      </c>
    </row>
    <row r="482" spans="1:15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  <c r="O482" t="str">
        <f t="shared" si="7"/>
        <v>June</v>
      </c>
    </row>
    <row r="483" spans="1:15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  <c r="O483" t="str">
        <f t="shared" si="7"/>
        <v>April</v>
      </c>
    </row>
    <row r="484" spans="1:15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4300</v>
      </c>
      <c r="M484" t="s">
        <v>4278</v>
      </c>
      <c r="N484">
        <v>1144.23</v>
      </c>
      <c r="O484" t="str">
        <f t="shared" si="7"/>
        <v>March</v>
      </c>
    </row>
    <row r="485" spans="1:15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  <c r="O485" t="str">
        <f t="shared" si="7"/>
        <v>January</v>
      </c>
    </row>
    <row r="486" spans="1:15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4300</v>
      </c>
      <c r="M486" t="s">
        <v>4281</v>
      </c>
      <c r="N486">
        <v>60.04</v>
      </c>
      <c r="O486" t="str">
        <f t="shared" si="7"/>
        <v>May</v>
      </c>
    </row>
    <row r="487" spans="1:15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  <c r="O487" t="str">
        <f t="shared" si="7"/>
        <v>August</v>
      </c>
    </row>
    <row r="488" spans="1:15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  <c r="O488" t="str">
        <f t="shared" si="7"/>
        <v>February</v>
      </c>
    </row>
    <row r="489" spans="1:15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  <c r="O489" t="str">
        <f t="shared" si="7"/>
        <v>March</v>
      </c>
    </row>
    <row r="490" spans="1:15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  <c r="O490" t="str">
        <f t="shared" si="7"/>
        <v>December</v>
      </c>
    </row>
    <row r="491" spans="1:15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  <c r="O491" t="str">
        <f t="shared" si="7"/>
        <v>September</v>
      </c>
    </row>
    <row r="492" spans="1:15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4300</v>
      </c>
      <c r="M492" t="s">
        <v>4281</v>
      </c>
      <c r="N492">
        <v>2339.0500000000002</v>
      </c>
      <c r="O492" t="str">
        <f t="shared" si="7"/>
        <v>July</v>
      </c>
    </row>
    <row r="493" spans="1:15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  <c r="O493" t="str">
        <f t="shared" si="7"/>
        <v>January</v>
      </c>
    </row>
    <row r="494" spans="1:15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  <c r="O494" t="str">
        <f t="shared" si="7"/>
        <v>October</v>
      </c>
    </row>
    <row r="495" spans="1:15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  <c r="O495" t="str">
        <f t="shared" si="7"/>
        <v>January</v>
      </c>
    </row>
    <row r="496" spans="1:15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  <c r="O496" t="str">
        <f t="shared" si="7"/>
        <v>July</v>
      </c>
    </row>
    <row r="497" spans="1:15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  <c r="O497" t="str">
        <f t="shared" si="7"/>
        <v>June</v>
      </c>
    </row>
    <row r="498" spans="1:15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  <c r="O498" t="str">
        <f t="shared" si="7"/>
        <v>March</v>
      </c>
    </row>
    <row r="499" spans="1:15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4300</v>
      </c>
      <c r="M499" t="s">
        <v>4282</v>
      </c>
      <c r="N499">
        <v>336.87</v>
      </c>
      <c r="O499" t="str">
        <f t="shared" si="7"/>
        <v>October</v>
      </c>
    </row>
    <row r="500" spans="1:15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  <c r="O500" t="str">
        <f t="shared" si="7"/>
        <v>July</v>
      </c>
    </row>
    <row r="501" spans="1:15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  <c r="O501" t="str">
        <f t="shared" si="7"/>
        <v>April</v>
      </c>
    </row>
    <row r="502" spans="1:15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  <c r="O502" t="str">
        <f t="shared" si="7"/>
        <v>April</v>
      </c>
    </row>
    <row r="503" spans="1:15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  <c r="O503" t="str">
        <f t="shared" si="7"/>
        <v>February</v>
      </c>
    </row>
    <row r="504" spans="1:15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  <c r="O504" t="str">
        <f t="shared" si="7"/>
        <v>May</v>
      </c>
    </row>
    <row r="505" spans="1:15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  <c r="O505" t="str">
        <f t="shared" si="7"/>
        <v>August</v>
      </c>
    </row>
    <row r="506" spans="1:15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  <c r="O506" t="str">
        <f t="shared" si="7"/>
        <v>June</v>
      </c>
    </row>
    <row r="507" spans="1:15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4300</v>
      </c>
      <c r="M507" t="s">
        <v>4280</v>
      </c>
      <c r="N507">
        <v>869.94</v>
      </c>
      <c r="O507" t="str">
        <f t="shared" si="7"/>
        <v>June</v>
      </c>
    </row>
    <row r="508" spans="1:15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  <c r="O508" t="str">
        <f t="shared" si="7"/>
        <v>July</v>
      </c>
    </row>
    <row r="509" spans="1:15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  <c r="O509" t="str">
        <f t="shared" si="7"/>
        <v>July</v>
      </c>
    </row>
    <row r="510" spans="1:15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4300</v>
      </c>
      <c r="M510" t="s">
        <v>4279</v>
      </c>
      <c r="N510">
        <v>558.27</v>
      </c>
      <c r="O510" t="str">
        <f t="shared" si="7"/>
        <v>May</v>
      </c>
    </row>
    <row r="511" spans="1:15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  <c r="O511" t="str">
        <f t="shared" si="7"/>
        <v>February</v>
      </c>
    </row>
    <row r="512" spans="1:15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  <c r="O512" t="str">
        <f t="shared" si="7"/>
        <v>December</v>
      </c>
    </row>
    <row r="513" spans="1:15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  <c r="O513" t="str">
        <f t="shared" si="7"/>
        <v>March</v>
      </c>
    </row>
    <row r="514" spans="1:15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  <c r="O514" t="str">
        <f t="shared" si="7"/>
        <v>September</v>
      </c>
    </row>
    <row r="515" spans="1:15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4300</v>
      </c>
      <c r="M515" t="s">
        <v>4279</v>
      </c>
      <c r="N515">
        <v>284.64</v>
      </c>
      <c r="O515" t="str">
        <f t="shared" ref="O515:O578" si="8">TEXT(B515, "mmmm")</f>
        <v>February</v>
      </c>
    </row>
    <row r="516" spans="1:15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  <c r="O516" t="str">
        <f t="shared" si="8"/>
        <v>April</v>
      </c>
    </row>
    <row r="517" spans="1:15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  <c r="O517" t="str">
        <f t="shared" si="8"/>
        <v>March</v>
      </c>
    </row>
    <row r="518" spans="1:15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4300</v>
      </c>
      <c r="M518" t="s">
        <v>4281</v>
      </c>
      <c r="N518">
        <v>500.97</v>
      </c>
      <c r="O518" t="str">
        <f t="shared" si="8"/>
        <v>April</v>
      </c>
    </row>
    <row r="519" spans="1:15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  <c r="O519" t="str">
        <f t="shared" si="8"/>
        <v>April</v>
      </c>
    </row>
    <row r="520" spans="1:15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  <c r="O520" t="str">
        <f t="shared" si="8"/>
        <v>June</v>
      </c>
    </row>
    <row r="521" spans="1:15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  <c r="O521" t="str">
        <f t="shared" si="8"/>
        <v>May</v>
      </c>
    </row>
    <row r="522" spans="1:15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4300</v>
      </c>
      <c r="M522" t="s">
        <v>4279</v>
      </c>
      <c r="N522">
        <v>1907.94</v>
      </c>
      <c r="O522" t="str">
        <f t="shared" si="8"/>
        <v>March</v>
      </c>
    </row>
    <row r="523" spans="1:15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4300</v>
      </c>
      <c r="M523" t="s">
        <v>4281</v>
      </c>
      <c r="N523">
        <v>528.05999999999995</v>
      </c>
      <c r="O523" t="str">
        <f t="shared" si="8"/>
        <v>February</v>
      </c>
    </row>
    <row r="524" spans="1:15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  <c r="O524" t="str">
        <f t="shared" si="8"/>
        <v>April</v>
      </c>
    </row>
    <row r="525" spans="1:15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  <c r="O525" t="str">
        <f t="shared" si="8"/>
        <v>February</v>
      </c>
    </row>
    <row r="526" spans="1:15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4300</v>
      </c>
      <c r="M526" t="s">
        <v>4279</v>
      </c>
      <c r="N526">
        <v>153</v>
      </c>
      <c r="O526" t="str">
        <f t="shared" si="8"/>
        <v>October</v>
      </c>
    </row>
    <row r="527" spans="1:15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  <c r="O527" t="str">
        <f t="shared" si="8"/>
        <v>December</v>
      </c>
    </row>
    <row r="528" spans="1:15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  <c r="O528" t="str">
        <f t="shared" si="8"/>
        <v>February</v>
      </c>
    </row>
    <row r="529" spans="1:15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  <c r="O529" t="str">
        <f t="shared" si="8"/>
        <v>August</v>
      </c>
    </row>
    <row r="530" spans="1:15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  <c r="O530" t="str">
        <f t="shared" si="8"/>
        <v>February</v>
      </c>
    </row>
    <row r="531" spans="1:15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  <c r="O531" t="str">
        <f t="shared" si="8"/>
        <v>April</v>
      </c>
    </row>
    <row r="532" spans="1:15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4300</v>
      </c>
      <c r="M532" t="s">
        <v>4282</v>
      </c>
      <c r="N532">
        <v>357.64</v>
      </c>
      <c r="O532" t="str">
        <f t="shared" si="8"/>
        <v>July</v>
      </c>
    </row>
    <row r="533" spans="1:15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4300</v>
      </c>
      <c r="M533" t="s">
        <v>4279</v>
      </c>
      <c r="N533">
        <v>1600.05</v>
      </c>
      <c r="O533" t="str">
        <f t="shared" si="8"/>
        <v>July</v>
      </c>
    </row>
    <row r="534" spans="1:15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4300</v>
      </c>
      <c r="M534" t="s">
        <v>4280</v>
      </c>
      <c r="N534">
        <v>82</v>
      </c>
      <c r="O534" t="str">
        <f t="shared" si="8"/>
        <v>May</v>
      </c>
    </row>
    <row r="535" spans="1:15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  <c r="O535" t="str">
        <f t="shared" si="8"/>
        <v>March</v>
      </c>
    </row>
    <row r="536" spans="1:15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  <c r="O536" t="str">
        <f t="shared" si="8"/>
        <v>June</v>
      </c>
    </row>
    <row r="537" spans="1:15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  <c r="O537" t="str">
        <f t="shared" si="8"/>
        <v>July</v>
      </c>
    </row>
    <row r="538" spans="1:15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4300</v>
      </c>
      <c r="M538" t="s">
        <v>4280</v>
      </c>
      <c r="N538">
        <v>616.1</v>
      </c>
      <c r="O538" t="str">
        <f t="shared" si="8"/>
        <v>June</v>
      </c>
    </row>
    <row r="539" spans="1:15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  <c r="O539" t="str">
        <f t="shared" si="8"/>
        <v>March</v>
      </c>
    </row>
    <row r="540" spans="1:15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  <c r="O540" t="str">
        <f t="shared" si="8"/>
        <v>May</v>
      </c>
    </row>
    <row r="541" spans="1:15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  <c r="O541" t="str">
        <f t="shared" si="8"/>
        <v>February</v>
      </c>
    </row>
    <row r="542" spans="1:15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4300</v>
      </c>
      <c r="M542" t="s">
        <v>4279</v>
      </c>
      <c r="N542">
        <v>3243.25</v>
      </c>
      <c r="O542" t="str">
        <f t="shared" si="8"/>
        <v>January</v>
      </c>
    </row>
    <row r="543" spans="1:15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4300</v>
      </c>
      <c r="M543" t="s">
        <v>4278</v>
      </c>
      <c r="N543">
        <v>2280.3000000000002</v>
      </c>
      <c r="O543" t="str">
        <f t="shared" si="8"/>
        <v>August</v>
      </c>
    </row>
    <row r="544" spans="1:15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  <c r="O544" t="str">
        <f t="shared" si="8"/>
        <v>November</v>
      </c>
    </row>
    <row r="545" spans="1:15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  <c r="O545" t="str">
        <f t="shared" si="8"/>
        <v>March</v>
      </c>
    </row>
    <row r="546" spans="1:15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  <c r="O546" t="str">
        <f t="shared" si="8"/>
        <v>March</v>
      </c>
    </row>
    <row r="547" spans="1:15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4300</v>
      </c>
      <c r="M547" t="s">
        <v>4278</v>
      </c>
      <c r="N547">
        <v>196.94</v>
      </c>
      <c r="O547" t="str">
        <f t="shared" si="8"/>
        <v>December</v>
      </c>
    </row>
    <row r="548" spans="1:15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  <c r="O548" t="str">
        <f t="shared" si="8"/>
        <v>March</v>
      </c>
    </row>
    <row r="549" spans="1:15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  <c r="O549" t="str">
        <f t="shared" si="8"/>
        <v>August</v>
      </c>
    </row>
    <row r="550" spans="1:15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  <c r="O550" t="str">
        <f t="shared" si="8"/>
        <v>January</v>
      </c>
    </row>
    <row r="551" spans="1:15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  <c r="O551" t="str">
        <f t="shared" si="8"/>
        <v>February</v>
      </c>
    </row>
    <row r="552" spans="1:15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  <c r="O552" t="str">
        <f t="shared" si="8"/>
        <v>October</v>
      </c>
    </row>
    <row r="553" spans="1:15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  <c r="O553" t="str">
        <f t="shared" si="8"/>
        <v>May</v>
      </c>
    </row>
    <row r="554" spans="1:15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  <c r="O554" t="str">
        <f t="shared" si="8"/>
        <v>September</v>
      </c>
    </row>
    <row r="555" spans="1:15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  <c r="O555" t="str">
        <f t="shared" si="8"/>
        <v>August</v>
      </c>
    </row>
    <row r="556" spans="1:15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  <c r="O556" t="str">
        <f t="shared" si="8"/>
        <v>May</v>
      </c>
    </row>
    <row r="557" spans="1:15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4300</v>
      </c>
      <c r="M557" t="s">
        <v>4281</v>
      </c>
      <c r="N557">
        <v>92.04</v>
      </c>
      <c r="O557" t="str">
        <f t="shared" si="8"/>
        <v>January</v>
      </c>
    </row>
    <row r="558" spans="1:15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  <c r="O558" t="str">
        <f t="shared" si="8"/>
        <v>January</v>
      </c>
    </row>
    <row r="559" spans="1:15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  <c r="O559" t="str">
        <f t="shared" si="8"/>
        <v>June</v>
      </c>
    </row>
    <row r="560" spans="1:15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  <c r="O560" t="str">
        <f t="shared" si="8"/>
        <v>July</v>
      </c>
    </row>
    <row r="561" spans="1:15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  <c r="O561" t="str">
        <f t="shared" si="8"/>
        <v>April</v>
      </c>
    </row>
    <row r="562" spans="1:15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4300</v>
      </c>
      <c r="M562" t="s">
        <v>4280</v>
      </c>
      <c r="N562">
        <v>2355.4</v>
      </c>
      <c r="O562" t="str">
        <f t="shared" si="8"/>
        <v>January</v>
      </c>
    </row>
    <row r="563" spans="1:15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4300</v>
      </c>
      <c r="M563" t="s">
        <v>4282</v>
      </c>
      <c r="N563">
        <v>989.56</v>
      </c>
      <c r="O563" t="str">
        <f t="shared" si="8"/>
        <v>January</v>
      </c>
    </row>
    <row r="564" spans="1:15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  <c r="O564" t="str">
        <f t="shared" si="8"/>
        <v>October</v>
      </c>
    </row>
    <row r="565" spans="1:15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  <c r="O565" t="str">
        <f t="shared" si="8"/>
        <v>December</v>
      </c>
    </row>
    <row r="566" spans="1:15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  <c r="O566" t="str">
        <f t="shared" si="8"/>
        <v>April</v>
      </c>
    </row>
    <row r="567" spans="1:15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4300</v>
      </c>
      <c r="M567" t="s">
        <v>4281</v>
      </c>
      <c r="N567">
        <v>1539.9</v>
      </c>
      <c r="O567" t="str">
        <f t="shared" si="8"/>
        <v>May</v>
      </c>
    </row>
    <row r="568" spans="1:15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  <c r="O568" t="str">
        <f t="shared" si="8"/>
        <v>April</v>
      </c>
    </row>
    <row r="569" spans="1:15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  <c r="O569" t="str">
        <f t="shared" si="8"/>
        <v>September</v>
      </c>
    </row>
    <row r="570" spans="1:15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4300</v>
      </c>
      <c r="M570" t="s">
        <v>4282</v>
      </c>
      <c r="N570">
        <v>687.98</v>
      </c>
      <c r="O570" t="str">
        <f t="shared" si="8"/>
        <v>March</v>
      </c>
    </row>
    <row r="571" spans="1:15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  <c r="O571" t="str">
        <f t="shared" si="8"/>
        <v>March</v>
      </c>
    </row>
    <row r="572" spans="1:15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  <c r="O572" t="str">
        <f t="shared" si="8"/>
        <v>December</v>
      </c>
    </row>
    <row r="573" spans="1:15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  <c r="O573" t="str">
        <f t="shared" si="8"/>
        <v>November</v>
      </c>
    </row>
    <row r="574" spans="1:15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  <c r="O574" t="str">
        <f t="shared" si="8"/>
        <v>November</v>
      </c>
    </row>
    <row r="575" spans="1:15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4300</v>
      </c>
      <c r="M575" t="s">
        <v>4278</v>
      </c>
      <c r="N575">
        <v>2107.1</v>
      </c>
      <c r="O575" t="str">
        <f t="shared" si="8"/>
        <v>January</v>
      </c>
    </row>
    <row r="576" spans="1:15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  <c r="O576" t="str">
        <f t="shared" si="8"/>
        <v>January</v>
      </c>
    </row>
    <row r="577" spans="1:15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  <c r="O577" t="str">
        <f t="shared" si="8"/>
        <v>June</v>
      </c>
    </row>
    <row r="578" spans="1:15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4300</v>
      </c>
      <c r="M578" t="s">
        <v>4281</v>
      </c>
      <c r="N578">
        <v>395.4</v>
      </c>
      <c r="O578" t="str">
        <f t="shared" si="8"/>
        <v>May</v>
      </c>
    </row>
    <row r="579" spans="1:15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  <c r="O579" t="str">
        <f t="shared" ref="O579:O642" si="9">TEXT(B579, "mmmm")</f>
        <v>January</v>
      </c>
    </row>
    <row r="580" spans="1:15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  <c r="O580" t="str">
        <f t="shared" si="9"/>
        <v>October</v>
      </c>
    </row>
    <row r="581" spans="1:15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  <c r="O581" t="str">
        <f t="shared" si="9"/>
        <v>June</v>
      </c>
    </row>
    <row r="582" spans="1:15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  <c r="O582" t="str">
        <f t="shared" si="9"/>
        <v>November</v>
      </c>
    </row>
    <row r="583" spans="1:15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4300</v>
      </c>
      <c r="M583" t="s">
        <v>4279</v>
      </c>
      <c r="N583">
        <v>627.34</v>
      </c>
      <c r="O583" t="str">
        <f t="shared" si="9"/>
        <v>November</v>
      </c>
    </row>
    <row r="584" spans="1:15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  <c r="O584" t="str">
        <f t="shared" si="9"/>
        <v>February</v>
      </c>
    </row>
    <row r="585" spans="1:15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4300</v>
      </c>
      <c r="M585" t="s">
        <v>4278</v>
      </c>
      <c r="N585">
        <v>463.11</v>
      </c>
      <c r="O585" t="str">
        <f t="shared" si="9"/>
        <v>June</v>
      </c>
    </row>
    <row r="586" spans="1:15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  <c r="O586" t="str">
        <f t="shared" si="9"/>
        <v>March</v>
      </c>
    </row>
    <row r="587" spans="1:15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  <c r="O587" t="str">
        <f t="shared" si="9"/>
        <v>August</v>
      </c>
    </row>
    <row r="588" spans="1:15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  <c r="O588" t="str">
        <f t="shared" si="9"/>
        <v>November</v>
      </c>
    </row>
    <row r="589" spans="1:15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  <c r="O589" t="str">
        <f t="shared" si="9"/>
        <v>June</v>
      </c>
    </row>
    <row r="590" spans="1:15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4300</v>
      </c>
      <c r="M590" t="s">
        <v>4282</v>
      </c>
      <c r="N590">
        <v>2311.2800000000002</v>
      </c>
      <c r="O590" t="str">
        <f t="shared" si="9"/>
        <v>December</v>
      </c>
    </row>
    <row r="591" spans="1:15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  <c r="O591" t="str">
        <f t="shared" si="9"/>
        <v>February</v>
      </c>
    </row>
    <row r="592" spans="1:15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4300</v>
      </c>
      <c r="M592" t="s">
        <v>4280</v>
      </c>
      <c r="N592">
        <v>922.26</v>
      </c>
      <c r="O592" t="str">
        <f t="shared" si="9"/>
        <v>September</v>
      </c>
    </row>
    <row r="593" spans="1:15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  <c r="O593" t="str">
        <f t="shared" si="9"/>
        <v>November</v>
      </c>
    </row>
    <row r="594" spans="1:15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4300</v>
      </c>
      <c r="M594" t="s">
        <v>4282</v>
      </c>
      <c r="N594">
        <v>612.81000000000006</v>
      </c>
      <c r="O594" t="str">
        <f t="shared" si="9"/>
        <v>April</v>
      </c>
    </row>
    <row r="595" spans="1:15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  <c r="O595" t="str">
        <f t="shared" si="9"/>
        <v>August</v>
      </c>
    </row>
    <row r="596" spans="1:15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4300</v>
      </c>
      <c r="M596" t="s">
        <v>4280</v>
      </c>
      <c r="N596">
        <v>363.2</v>
      </c>
      <c r="O596" t="str">
        <f t="shared" si="9"/>
        <v>February</v>
      </c>
    </row>
    <row r="597" spans="1:15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  <c r="O597" t="str">
        <f t="shared" si="9"/>
        <v>January</v>
      </c>
    </row>
    <row r="598" spans="1:15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  <c r="O598" t="str">
        <f t="shared" si="9"/>
        <v>June</v>
      </c>
    </row>
    <row r="599" spans="1:15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  <c r="O599" t="str">
        <f t="shared" si="9"/>
        <v>November</v>
      </c>
    </row>
    <row r="600" spans="1:15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4300</v>
      </c>
      <c r="M600" t="s">
        <v>4281</v>
      </c>
      <c r="N600">
        <v>2476.75</v>
      </c>
      <c r="O600" t="str">
        <f t="shared" si="9"/>
        <v>April</v>
      </c>
    </row>
    <row r="601" spans="1:15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  <c r="O601" t="str">
        <f t="shared" si="9"/>
        <v>June</v>
      </c>
    </row>
    <row r="602" spans="1:15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  <c r="O602" t="str">
        <f t="shared" si="9"/>
        <v>May</v>
      </c>
    </row>
    <row r="603" spans="1:15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4300</v>
      </c>
      <c r="M603" t="s">
        <v>4279</v>
      </c>
      <c r="N603">
        <v>124.1</v>
      </c>
      <c r="O603" t="str">
        <f t="shared" si="9"/>
        <v>October</v>
      </c>
    </row>
    <row r="604" spans="1:15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  <c r="O604" t="str">
        <f t="shared" si="9"/>
        <v>March</v>
      </c>
    </row>
    <row r="605" spans="1:15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  <c r="O605" t="str">
        <f t="shared" si="9"/>
        <v>October</v>
      </c>
    </row>
    <row r="606" spans="1:15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4300</v>
      </c>
      <c r="M606" t="s">
        <v>4281</v>
      </c>
      <c r="N606">
        <v>97.859999999999985</v>
      </c>
      <c r="O606" t="str">
        <f t="shared" si="9"/>
        <v>June</v>
      </c>
    </row>
    <row r="607" spans="1:15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  <c r="O607" t="str">
        <f t="shared" si="9"/>
        <v>May</v>
      </c>
    </row>
    <row r="608" spans="1:15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  <c r="O608" t="str">
        <f t="shared" si="9"/>
        <v>November</v>
      </c>
    </row>
    <row r="609" spans="1:15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  <c r="O609" t="str">
        <f t="shared" si="9"/>
        <v>May</v>
      </c>
    </row>
    <row r="610" spans="1:15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  <c r="O610" t="str">
        <f t="shared" si="9"/>
        <v>July</v>
      </c>
    </row>
    <row r="611" spans="1:15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  <c r="O611" t="str">
        <f t="shared" si="9"/>
        <v>January</v>
      </c>
    </row>
    <row r="612" spans="1:15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  <c r="O612" t="str">
        <f t="shared" si="9"/>
        <v>June</v>
      </c>
    </row>
    <row r="613" spans="1:15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  <c r="O613" t="str">
        <f t="shared" si="9"/>
        <v>April</v>
      </c>
    </row>
    <row r="614" spans="1:15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4300</v>
      </c>
      <c r="M614" t="s">
        <v>4282</v>
      </c>
      <c r="N614">
        <v>1335.36</v>
      </c>
      <c r="O614" t="str">
        <f t="shared" si="9"/>
        <v>June</v>
      </c>
    </row>
    <row r="615" spans="1:15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  <c r="O615" t="str">
        <f t="shared" si="9"/>
        <v>December</v>
      </c>
    </row>
    <row r="616" spans="1:15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4300</v>
      </c>
      <c r="M616" t="s">
        <v>4279</v>
      </c>
      <c r="N616">
        <v>96.81</v>
      </c>
      <c r="O616" t="str">
        <f t="shared" si="9"/>
        <v>March</v>
      </c>
    </row>
    <row r="617" spans="1:15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  <c r="O617" t="str">
        <f t="shared" si="9"/>
        <v>March</v>
      </c>
    </row>
    <row r="618" spans="1:15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  <c r="O618" t="str">
        <f t="shared" si="9"/>
        <v>October</v>
      </c>
    </row>
    <row r="619" spans="1:15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4300</v>
      </c>
      <c r="M619" t="s">
        <v>4279</v>
      </c>
      <c r="N619">
        <v>553.41</v>
      </c>
      <c r="O619" t="str">
        <f t="shared" si="9"/>
        <v>February</v>
      </c>
    </row>
    <row r="620" spans="1:15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4300</v>
      </c>
      <c r="M620" t="s">
        <v>4278</v>
      </c>
      <c r="N620">
        <v>411.34</v>
      </c>
      <c r="O620" t="str">
        <f t="shared" si="9"/>
        <v>September</v>
      </c>
    </row>
    <row r="621" spans="1:15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4300</v>
      </c>
      <c r="M621" t="s">
        <v>4279</v>
      </c>
      <c r="N621">
        <v>532.89</v>
      </c>
      <c r="O621" t="str">
        <f t="shared" si="9"/>
        <v>July</v>
      </c>
    </row>
    <row r="622" spans="1:15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  <c r="O622" t="str">
        <f t="shared" si="9"/>
        <v>March</v>
      </c>
    </row>
    <row r="623" spans="1:15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  <c r="O623" t="str">
        <f t="shared" si="9"/>
        <v>October</v>
      </c>
    </row>
    <row r="624" spans="1:15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4300</v>
      </c>
      <c r="M624" t="s">
        <v>4281</v>
      </c>
      <c r="N624">
        <v>1181.9000000000001</v>
      </c>
      <c r="O624" t="str">
        <f t="shared" si="9"/>
        <v>November</v>
      </c>
    </row>
    <row r="625" spans="1:15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  <c r="O625" t="str">
        <f t="shared" si="9"/>
        <v>June</v>
      </c>
    </row>
    <row r="626" spans="1:15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4300</v>
      </c>
      <c r="M626" t="s">
        <v>4280</v>
      </c>
      <c r="N626">
        <v>1709.8</v>
      </c>
      <c r="O626" t="str">
        <f t="shared" si="9"/>
        <v>January</v>
      </c>
    </row>
    <row r="627" spans="1:15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  <c r="O627" t="str">
        <f t="shared" si="9"/>
        <v>September</v>
      </c>
    </row>
    <row r="628" spans="1:15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  <c r="O628" t="str">
        <f t="shared" si="9"/>
        <v>March</v>
      </c>
    </row>
    <row r="629" spans="1:15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  <c r="O629" t="str">
        <f t="shared" si="9"/>
        <v>August</v>
      </c>
    </row>
    <row r="630" spans="1:15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  <c r="O630" t="str">
        <f t="shared" si="9"/>
        <v>March</v>
      </c>
    </row>
    <row r="631" spans="1:15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4300</v>
      </c>
      <c r="M631" t="s">
        <v>4279</v>
      </c>
      <c r="N631">
        <v>59.19</v>
      </c>
      <c r="O631" t="str">
        <f t="shared" si="9"/>
        <v>July</v>
      </c>
    </row>
    <row r="632" spans="1:15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4300</v>
      </c>
      <c r="M632" t="s">
        <v>4278</v>
      </c>
      <c r="N632">
        <v>1244.2</v>
      </c>
      <c r="O632" t="str">
        <f t="shared" si="9"/>
        <v>June</v>
      </c>
    </row>
    <row r="633" spans="1:15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  <c r="O633" t="str">
        <f t="shared" si="9"/>
        <v>August</v>
      </c>
    </row>
    <row r="634" spans="1:15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  <c r="O634" t="str">
        <f t="shared" si="9"/>
        <v>May</v>
      </c>
    </row>
    <row r="635" spans="1:15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  <c r="O635" t="str">
        <f t="shared" si="9"/>
        <v>April</v>
      </c>
    </row>
    <row r="636" spans="1:15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  <c r="O636" t="str">
        <f t="shared" si="9"/>
        <v>April</v>
      </c>
    </row>
    <row r="637" spans="1:15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4300</v>
      </c>
      <c r="M637" t="s">
        <v>4281</v>
      </c>
      <c r="N637">
        <v>191.04</v>
      </c>
      <c r="O637" t="str">
        <f t="shared" si="9"/>
        <v>December</v>
      </c>
    </row>
    <row r="638" spans="1:15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  <c r="O638" t="str">
        <f t="shared" si="9"/>
        <v>October</v>
      </c>
    </row>
    <row r="639" spans="1:15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  <c r="O639" t="str">
        <f t="shared" si="9"/>
        <v>September</v>
      </c>
    </row>
    <row r="640" spans="1:15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  <c r="O640" t="str">
        <f t="shared" si="9"/>
        <v>October</v>
      </c>
    </row>
    <row r="641" spans="1:15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4300</v>
      </c>
      <c r="M641" t="s">
        <v>4279</v>
      </c>
      <c r="N641">
        <v>529.19000000000005</v>
      </c>
      <c r="O641" t="str">
        <f t="shared" si="9"/>
        <v>January</v>
      </c>
    </row>
    <row r="642" spans="1:15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  <c r="O642" t="str">
        <f t="shared" si="9"/>
        <v>February</v>
      </c>
    </row>
    <row r="643" spans="1:15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  <c r="O643" t="str">
        <f t="shared" ref="O643:O706" si="10">TEXT(B643, "mmmm")</f>
        <v>June</v>
      </c>
    </row>
    <row r="644" spans="1:15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  <c r="O644" t="str">
        <f t="shared" si="10"/>
        <v>April</v>
      </c>
    </row>
    <row r="645" spans="1:15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  <c r="O645" t="str">
        <f t="shared" si="10"/>
        <v>August</v>
      </c>
    </row>
    <row r="646" spans="1:15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  <c r="O646" t="str">
        <f t="shared" si="10"/>
        <v>November</v>
      </c>
    </row>
    <row r="647" spans="1:15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  <c r="O647" t="str">
        <f t="shared" si="10"/>
        <v>January</v>
      </c>
    </row>
    <row r="648" spans="1:15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  <c r="O648" t="str">
        <f t="shared" si="10"/>
        <v>October</v>
      </c>
    </row>
    <row r="649" spans="1:15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  <c r="O649" t="str">
        <f t="shared" si="10"/>
        <v>April</v>
      </c>
    </row>
    <row r="650" spans="1:15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  <c r="O650" t="str">
        <f t="shared" si="10"/>
        <v>January</v>
      </c>
    </row>
    <row r="651" spans="1:15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  <c r="O651" t="str">
        <f t="shared" si="10"/>
        <v>December</v>
      </c>
    </row>
    <row r="652" spans="1:15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  <c r="O652" t="str">
        <f t="shared" si="10"/>
        <v>May</v>
      </c>
    </row>
    <row r="653" spans="1:15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4300</v>
      </c>
      <c r="M653" t="s">
        <v>4282</v>
      </c>
      <c r="N653">
        <v>1939.02</v>
      </c>
      <c r="O653" t="str">
        <f t="shared" si="10"/>
        <v>November</v>
      </c>
    </row>
    <row r="654" spans="1:15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  <c r="O654" t="str">
        <f t="shared" si="10"/>
        <v>June</v>
      </c>
    </row>
    <row r="655" spans="1:15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  <c r="O655" t="str">
        <f t="shared" si="10"/>
        <v>February</v>
      </c>
    </row>
    <row r="656" spans="1:15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4300</v>
      </c>
      <c r="M656" t="s">
        <v>4278</v>
      </c>
      <c r="N656">
        <v>1147.1099999999999</v>
      </c>
      <c r="O656" t="str">
        <f t="shared" si="10"/>
        <v>June</v>
      </c>
    </row>
    <row r="657" spans="1:15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  <c r="O657" t="str">
        <f t="shared" si="10"/>
        <v>March</v>
      </c>
    </row>
    <row r="658" spans="1:15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  <c r="O658" t="str">
        <f t="shared" si="10"/>
        <v>January</v>
      </c>
    </row>
    <row r="659" spans="1:15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  <c r="O659" t="str">
        <f t="shared" si="10"/>
        <v>December</v>
      </c>
    </row>
    <row r="660" spans="1:15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  <c r="O660" t="str">
        <f t="shared" si="10"/>
        <v>April</v>
      </c>
    </row>
    <row r="661" spans="1:15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  <c r="O661" t="str">
        <f t="shared" si="10"/>
        <v>October</v>
      </c>
    </row>
    <row r="662" spans="1:15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  <c r="O662" t="str">
        <f t="shared" si="10"/>
        <v>October</v>
      </c>
    </row>
    <row r="663" spans="1:15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  <c r="O663" t="str">
        <f t="shared" si="10"/>
        <v>February</v>
      </c>
    </row>
    <row r="664" spans="1:15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4300</v>
      </c>
      <c r="M664" t="s">
        <v>4281</v>
      </c>
      <c r="N664">
        <v>1316.67</v>
      </c>
      <c r="O664" t="str">
        <f t="shared" si="10"/>
        <v>January</v>
      </c>
    </row>
    <row r="665" spans="1:15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  <c r="O665" t="str">
        <f t="shared" si="10"/>
        <v>April</v>
      </c>
    </row>
    <row r="666" spans="1:15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4300</v>
      </c>
      <c r="M666" t="s">
        <v>4281</v>
      </c>
      <c r="N666">
        <v>779</v>
      </c>
      <c r="O666" t="str">
        <f t="shared" si="10"/>
        <v>December</v>
      </c>
    </row>
    <row r="667" spans="1:15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  <c r="O667" t="str">
        <f t="shared" si="10"/>
        <v>May</v>
      </c>
    </row>
    <row r="668" spans="1:15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4300</v>
      </c>
      <c r="M668" t="s">
        <v>4280</v>
      </c>
      <c r="N668">
        <v>1308.48</v>
      </c>
      <c r="O668" t="str">
        <f t="shared" si="10"/>
        <v>August</v>
      </c>
    </row>
    <row r="669" spans="1:15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  <c r="O669" t="str">
        <f t="shared" si="10"/>
        <v>May</v>
      </c>
    </row>
    <row r="670" spans="1:15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  <c r="O670" t="str">
        <f t="shared" si="10"/>
        <v>July</v>
      </c>
    </row>
    <row r="671" spans="1:15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4300</v>
      </c>
      <c r="M671" t="s">
        <v>4279</v>
      </c>
      <c r="N671">
        <v>257</v>
      </c>
      <c r="O671" t="str">
        <f t="shared" si="10"/>
        <v>February</v>
      </c>
    </row>
    <row r="672" spans="1:15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  <c r="O672" t="str">
        <f t="shared" si="10"/>
        <v>April</v>
      </c>
    </row>
    <row r="673" spans="1:15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  <c r="O673" t="str">
        <f t="shared" si="10"/>
        <v>June</v>
      </c>
    </row>
    <row r="674" spans="1:15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  <c r="O674" t="str">
        <f t="shared" si="10"/>
        <v>May</v>
      </c>
    </row>
    <row r="675" spans="1:15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  <c r="O675" t="str">
        <f t="shared" si="10"/>
        <v>February</v>
      </c>
    </row>
    <row r="676" spans="1:15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  <c r="O676" t="str">
        <f t="shared" si="10"/>
        <v>January</v>
      </c>
    </row>
    <row r="677" spans="1:15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4300</v>
      </c>
      <c r="M677" t="s">
        <v>4280</v>
      </c>
      <c r="N677">
        <v>1026.06</v>
      </c>
      <c r="O677" t="str">
        <f t="shared" si="10"/>
        <v>August</v>
      </c>
    </row>
    <row r="678" spans="1:15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  <c r="O678" t="str">
        <f t="shared" si="10"/>
        <v>June</v>
      </c>
    </row>
    <row r="679" spans="1:15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  <c r="O679" t="str">
        <f t="shared" si="10"/>
        <v>April</v>
      </c>
    </row>
    <row r="680" spans="1:15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  <c r="O680" t="str">
        <f t="shared" si="10"/>
        <v>November</v>
      </c>
    </row>
    <row r="681" spans="1:15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  <c r="O681" t="str">
        <f t="shared" si="10"/>
        <v>February</v>
      </c>
    </row>
    <row r="682" spans="1:15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4300</v>
      </c>
      <c r="M682" t="s">
        <v>4281</v>
      </c>
      <c r="N682">
        <v>1390.17</v>
      </c>
      <c r="O682" t="str">
        <f t="shared" si="10"/>
        <v>August</v>
      </c>
    </row>
    <row r="683" spans="1:15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4300</v>
      </c>
      <c r="M683" t="s">
        <v>4280</v>
      </c>
      <c r="N683">
        <v>155.27000000000001</v>
      </c>
      <c r="O683" t="str">
        <f t="shared" si="10"/>
        <v>January</v>
      </c>
    </row>
    <row r="684" spans="1:15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  <c r="O684" t="str">
        <f t="shared" si="10"/>
        <v>July</v>
      </c>
    </row>
    <row r="685" spans="1:15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  <c r="O685" t="str">
        <f t="shared" si="10"/>
        <v>May</v>
      </c>
    </row>
    <row r="686" spans="1:15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4300</v>
      </c>
      <c r="M686" t="s">
        <v>4280</v>
      </c>
      <c r="N686">
        <v>139.36000000000001</v>
      </c>
      <c r="O686" t="str">
        <f t="shared" si="10"/>
        <v>September</v>
      </c>
    </row>
    <row r="687" spans="1:15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  <c r="O687" t="str">
        <f t="shared" si="10"/>
        <v>February</v>
      </c>
    </row>
    <row r="688" spans="1:15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  <c r="O688" t="str">
        <f t="shared" si="10"/>
        <v>October</v>
      </c>
    </row>
    <row r="689" spans="1:15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  <c r="O689" t="str">
        <f t="shared" si="10"/>
        <v>September</v>
      </c>
    </row>
    <row r="690" spans="1:15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  <c r="O690" t="str">
        <f t="shared" si="10"/>
        <v>March</v>
      </c>
    </row>
    <row r="691" spans="1:15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4300</v>
      </c>
      <c r="M691" t="s">
        <v>4281</v>
      </c>
      <c r="N691">
        <v>889.68</v>
      </c>
      <c r="O691" t="str">
        <f t="shared" si="10"/>
        <v>August</v>
      </c>
    </row>
    <row r="692" spans="1:15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4300</v>
      </c>
      <c r="M692" t="s">
        <v>4278</v>
      </c>
      <c r="N692">
        <v>24.48</v>
      </c>
      <c r="O692" t="str">
        <f t="shared" si="10"/>
        <v>July</v>
      </c>
    </row>
    <row r="693" spans="1:15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4300</v>
      </c>
      <c r="M693" t="s">
        <v>4282</v>
      </c>
      <c r="N693">
        <v>717.24</v>
      </c>
      <c r="O693" t="str">
        <f t="shared" si="10"/>
        <v>November</v>
      </c>
    </row>
    <row r="694" spans="1:15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  <c r="O694" t="str">
        <f t="shared" si="10"/>
        <v>January</v>
      </c>
    </row>
    <row r="695" spans="1:15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4300</v>
      </c>
      <c r="M695" t="s">
        <v>4279</v>
      </c>
      <c r="N695">
        <v>176.58</v>
      </c>
      <c r="O695" t="str">
        <f t="shared" si="10"/>
        <v>March</v>
      </c>
    </row>
    <row r="696" spans="1:15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  <c r="O696" t="str">
        <f t="shared" si="10"/>
        <v>October</v>
      </c>
    </row>
    <row r="697" spans="1:15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  <c r="O697" t="str">
        <f t="shared" si="10"/>
        <v>November</v>
      </c>
    </row>
    <row r="698" spans="1:15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  <c r="O698" t="str">
        <f t="shared" si="10"/>
        <v>July</v>
      </c>
    </row>
    <row r="699" spans="1:15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  <c r="O699" t="str">
        <f t="shared" si="10"/>
        <v>February</v>
      </c>
    </row>
    <row r="700" spans="1:15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  <c r="O700" t="str">
        <f t="shared" si="10"/>
        <v>January</v>
      </c>
    </row>
    <row r="701" spans="1:15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4300</v>
      </c>
      <c r="M701" t="s">
        <v>4281</v>
      </c>
      <c r="N701">
        <v>1842.45</v>
      </c>
      <c r="O701" t="str">
        <f t="shared" si="10"/>
        <v>November</v>
      </c>
    </row>
    <row r="702" spans="1:15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  <c r="O702" t="str">
        <f t="shared" si="10"/>
        <v>September</v>
      </c>
    </row>
    <row r="703" spans="1:15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  <c r="O703" t="str">
        <f t="shared" si="10"/>
        <v>June</v>
      </c>
    </row>
    <row r="704" spans="1:15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4300</v>
      </c>
      <c r="M704" t="s">
        <v>4280</v>
      </c>
      <c r="N704">
        <v>1687.65</v>
      </c>
      <c r="O704" t="str">
        <f t="shared" si="10"/>
        <v>June</v>
      </c>
    </row>
    <row r="705" spans="1:15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  <c r="O705" t="str">
        <f t="shared" si="10"/>
        <v>March</v>
      </c>
    </row>
    <row r="706" spans="1:15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  <c r="O706" t="str">
        <f t="shared" si="10"/>
        <v>June</v>
      </c>
    </row>
    <row r="707" spans="1:15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  <c r="O707" t="str">
        <f t="shared" ref="O707:O770" si="11">TEXT(B707, "mmmm")</f>
        <v>March</v>
      </c>
    </row>
    <row r="708" spans="1:15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  <c r="O708" t="str">
        <f t="shared" si="11"/>
        <v>March</v>
      </c>
    </row>
    <row r="709" spans="1:15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  <c r="O709" t="str">
        <f t="shared" si="11"/>
        <v>November</v>
      </c>
    </row>
    <row r="710" spans="1:15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  <c r="O710" t="str">
        <f t="shared" si="11"/>
        <v>March</v>
      </c>
    </row>
    <row r="711" spans="1:15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  <c r="O711" t="str">
        <f t="shared" si="11"/>
        <v>December</v>
      </c>
    </row>
    <row r="712" spans="1:15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4300</v>
      </c>
      <c r="M712" t="s">
        <v>4282</v>
      </c>
      <c r="N712">
        <v>107.7</v>
      </c>
      <c r="O712" t="str">
        <f t="shared" si="11"/>
        <v>July</v>
      </c>
    </row>
    <row r="713" spans="1:15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  <c r="O713" t="str">
        <f t="shared" si="11"/>
        <v>July</v>
      </c>
    </row>
    <row r="714" spans="1:15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  <c r="O714" t="str">
        <f t="shared" si="11"/>
        <v>January</v>
      </c>
    </row>
    <row r="715" spans="1:15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  <c r="O715" t="str">
        <f t="shared" si="11"/>
        <v>June</v>
      </c>
    </row>
    <row r="716" spans="1:15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  <c r="O716" t="str">
        <f t="shared" si="11"/>
        <v>April</v>
      </c>
    </row>
    <row r="717" spans="1:15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  <c r="O717" t="str">
        <f t="shared" si="11"/>
        <v>July</v>
      </c>
    </row>
    <row r="718" spans="1:15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  <c r="O718" t="str">
        <f t="shared" si="11"/>
        <v>June</v>
      </c>
    </row>
    <row r="719" spans="1:15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  <c r="O719" t="str">
        <f t="shared" si="11"/>
        <v>October</v>
      </c>
    </row>
    <row r="720" spans="1:15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  <c r="O720" t="str">
        <f t="shared" si="11"/>
        <v>April</v>
      </c>
    </row>
    <row r="721" spans="1:15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  <c r="O721" t="str">
        <f t="shared" si="11"/>
        <v>January</v>
      </c>
    </row>
    <row r="722" spans="1:15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  <c r="O722" t="str">
        <f t="shared" si="11"/>
        <v>September</v>
      </c>
    </row>
    <row r="723" spans="1:15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4300</v>
      </c>
      <c r="M723" t="s">
        <v>4280</v>
      </c>
      <c r="N723">
        <v>237.18</v>
      </c>
      <c r="O723" t="str">
        <f t="shared" si="11"/>
        <v>March</v>
      </c>
    </row>
    <row r="724" spans="1:15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  <c r="O724" t="str">
        <f t="shared" si="11"/>
        <v>November</v>
      </c>
    </row>
    <row r="725" spans="1:15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  <c r="O725" t="str">
        <f t="shared" si="11"/>
        <v>December</v>
      </c>
    </row>
    <row r="726" spans="1:15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  <c r="O726" t="str">
        <f t="shared" si="11"/>
        <v>October</v>
      </c>
    </row>
    <row r="727" spans="1:15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4300</v>
      </c>
      <c r="M727" t="s">
        <v>4279</v>
      </c>
      <c r="N727">
        <v>389.7</v>
      </c>
      <c r="O727" t="str">
        <f t="shared" si="11"/>
        <v>March</v>
      </c>
    </row>
    <row r="728" spans="1:15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  <c r="O728" t="str">
        <f t="shared" si="11"/>
        <v>October</v>
      </c>
    </row>
    <row r="729" spans="1:15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  <c r="O729" t="str">
        <f t="shared" si="11"/>
        <v>September</v>
      </c>
    </row>
    <row r="730" spans="1:15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  <c r="O730" t="str">
        <f t="shared" si="11"/>
        <v>July</v>
      </c>
    </row>
    <row r="731" spans="1:15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  <c r="O731" t="str">
        <f t="shared" si="11"/>
        <v>September</v>
      </c>
    </row>
    <row r="732" spans="1:15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  <c r="O732" t="str">
        <f t="shared" si="11"/>
        <v>February</v>
      </c>
    </row>
    <row r="733" spans="1:15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4300</v>
      </c>
      <c r="M733" t="s">
        <v>4280</v>
      </c>
      <c r="N733">
        <v>2922.3</v>
      </c>
      <c r="O733" t="str">
        <f t="shared" si="11"/>
        <v>June</v>
      </c>
    </row>
    <row r="734" spans="1:15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4300</v>
      </c>
      <c r="M734" t="s">
        <v>4282</v>
      </c>
      <c r="N734">
        <v>132.05000000000001</v>
      </c>
      <c r="O734" t="str">
        <f t="shared" si="11"/>
        <v>March</v>
      </c>
    </row>
    <row r="735" spans="1:15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  <c r="O735" t="str">
        <f t="shared" si="11"/>
        <v>December</v>
      </c>
    </row>
    <row r="736" spans="1:15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  <c r="O736" t="str">
        <f t="shared" si="11"/>
        <v>January</v>
      </c>
    </row>
    <row r="737" spans="1:15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4300</v>
      </c>
      <c r="M737" t="s">
        <v>4280</v>
      </c>
      <c r="N737">
        <v>176.28</v>
      </c>
      <c r="O737" t="str">
        <f t="shared" si="11"/>
        <v>June</v>
      </c>
    </row>
    <row r="738" spans="1:15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  <c r="O738" t="str">
        <f t="shared" si="11"/>
        <v>February</v>
      </c>
    </row>
    <row r="739" spans="1:15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  <c r="O739" t="str">
        <f t="shared" si="11"/>
        <v>January</v>
      </c>
    </row>
    <row r="740" spans="1:15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  <c r="O740" t="str">
        <f t="shared" si="11"/>
        <v>June</v>
      </c>
    </row>
    <row r="741" spans="1:15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  <c r="O741" t="str">
        <f t="shared" si="11"/>
        <v>June</v>
      </c>
    </row>
    <row r="742" spans="1:15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4300</v>
      </c>
      <c r="M742" t="s">
        <v>4282</v>
      </c>
      <c r="N742">
        <v>754.94</v>
      </c>
      <c r="O742" t="str">
        <f t="shared" si="11"/>
        <v>July</v>
      </c>
    </row>
    <row r="743" spans="1:15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4300</v>
      </c>
      <c r="M743" t="s">
        <v>4279</v>
      </c>
      <c r="N743">
        <v>1663.2</v>
      </c>
      <c r="O743" t="str">
        <f t="shared" si="11"/>
        <v>January</v>
      </c>
    </row>
    <row r="744" spans="1:15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  <c r="O744" t="str">
        <f t="shared" si="11"/>
        <v>November</v>
      </c>
    </row>
    <row r="745" spans="1:15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  <c r="O745" t="str">
        <f t="shared" si="11"/>
        <v>September</v>
      </c>
    </row>
    <row r="746" spans="1:15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  <c r="O746" t="str">
        <f t="shared" si="11"/>
        <v>June</v>
      </c>
    </row>
    <row r="747" spans="1:15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  <c r="O747" t="str">
        <f t="shared" si="11"/>
        <v>March</v>
      </c>
    </row>
    <row r="748" spans="1:15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  <c r="O748" t="str">
        <f t="shared" si="11"/>
        <v>February</v>
      </c>
    </row>
    <row r="749" spans="1:15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  <c r="O749" t="str">
        <f t="shared" si="11"/>
        <v>March</v>
      </c>
    </row>
    <row r="750" spans="1:15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  <c r="O750" t="str">
        <f t="shared" si="11"/>
        <v>July</v>
      </c>
    </row>
    <row r="751" spans="1:15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  <c r="O751" t="str">
        <f t="shared" si="11"/>
        <v>April</v>
      </c>
    </row>
    <row r="752" spans="1:15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  <c r="O752" t="str">
        <f t="shared" si="11"/>
        <v>January</v>
      </c>
    </row>
    <row r="753" spans="1:15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  <c r="O753" t="str">
        <f t="shared" si="11"/>
        <v>January</v>
      </c>
    </row>
    <row r="754" spans="1:15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  <c r="O754" t="str">
        <f t="shared" si="11"/>
        <v>October</v>
      </c>
    </row>
    <row r="755" spans="1:15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  <c r="O755" t="str">
        <f t="shared" si="11"/>
        <v>April</v>
      </c>
    </row>
    <row r="756" spans="1:15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  <c r="O756" t="str">
        <f t="shared" si="11"/>
        <v>May</v>
      </c>
    </row>
    <row r="757" spans="1:15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4300</v>
      </c>
      <c r="M757" t="s">
        <v>4280</v>
      </c>
      <c r="N757">
        <v>1010.13</v>
      </c>
      <c r="O757" t="str">
        <f t="shared" si="11"/>
        <v>June</v>
      </c>
    </row>
    <row r="758" spans="1:15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4300</v>
      </c>
      <c r="M758" t="s">
        <v>4282</v>
      </c>
      <c r="N758">
        <v>283.69</v>
      </c>
      <c r="O758" t="str">
        <f t="shared" si="11"/>
        <v>June</v>
      </c>
    </row>
    <row r="759" spans="1:15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  <c r="O759" t="str">
        <f t="shared" si="11"/>
        <v>February</v>
      </c>
    </row>
    <row r="760" spans="1:15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  <c r="O760" t="str">
        <f t="shared" si="11"/>
        <v>March</v>
      </c>
    </row>
    <row r="761" spans="1:15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  <c r="O761" t="str">
        <f t="shared" si="11"/>
        <v>July</v>
      </c>
    </row>
    <row r="762" spans="1:15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4300</v>
      </c>
      <c r="M762" t="s">
        <v>4282</v>
      </c>
      <c r="N762">
        <v>39.56</v>
      </c>
      <c r="O762" t="str">
        <f t="shared" si="11"/>
        <v>February</v>
      </c>
    </row>
    <row r="763" spans="1:15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4300</v>
      </c>
      <c r="M763" t="s">
        <v>4282</v>
      </c>
      <c r="N763">
        <v>151.04</v>
      </c>
      <c r="O763" t="str">
        <f t="shared" si="11"/>
        <v>June</v>
      </c>
    </row>
    <row r="764" spans="1:15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  <c r="O764" t="str">
        <f t="shared" si="11"/>
        <v>September</v>
      </c>
    </row>
    <row r="765" spans="1:15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  <c r="O765" t="str">
        <f t="shared" si="11"/>
        <v>April</v>
      </c>
    </row>
    <row r="766" spans="1:15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  <c r="O766" t="str">
        <f t="shared" si="11"/>
        <v>March</v>
      </c>
    </row>
    <row r="767" spans="1:15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  <c r="O767" t="str">
        <f t="shared" si="11"/>
        <v>October</v>
      </c>
    </row>
    <row r="768" spans="1:15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  <c r="O768" t="str">
        <f t="shared" si="11"/>
        <v>January</v>
      </c>
    </row>
    <row r="769" spans="1:15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4300</v>
      </c>
      <c r="M769" t="s">
        <v>4278</v>
      </c>
      <c r="N769">
        <v>646.44000000000005</v>
      </c>
      <c r="O769" t="str">
        <f t="shared" si="11"/>
        <v>April</v>
      </c>
    </row>
    <row r="770" spans="1:15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  <c r="O770" t="str">
        <f t="shared" si="11"/>
        <v>September</v>
      </c>
    </row>
    <row r="771" spans="1:15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4300</v>
      </c>
      <c r="M771" t="s">
        <v>4280</v>
      </c>
      <c r="N771">
        <v>2714.2</v>
      </c>
      <c r="O771" t="str">
        <f t="shared" ref="O771:O834" si="12">TEXT(B771, "mmmm")</f>
        <v>July</v>
      </c>
    </row>
    <row r="772" spans="1:15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4300</v>
      </c>
      <c r="M772" t="s">
        <v>4282</v>
      </c>
      <c r="N772">
        <v>314.38</v>
      </c>
      <c r="O772" t="str">
        <f t="shared" si="12"/>
        <v>February</v>
      </c>
    </row>
    <row r="773" spans="1:15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  <c r="O773" t="str">
        <f t="shared" si="12"/>
        <v>June</v>
      </c>
    </row>
    <row r="774" spans="1:15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4300</v>
      </c>
      <c r="M774" t="s">
        <v>4278</v>
      </c>
      <c r="N774">
        <v>604.87</v>
      </c>
      <c r="O774" t="str">
        <f t="shared" si="12"/>
        <v>July</v>
      </c>
    </row>
    <row r="775" spans="1:15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4300</v>
      </c>
      <c r="M775" t="s">
        <v>4281</v>
      </c>
      <c r="N775">
        <v>1024.6600000000001</v>
      </c>
      <c r="O775" t="str">
        <f t="shared" si="12"/>
        <v>June</v>
      </c>
    </row>
    <row r="776" spans="1:15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  <c r="O776" t="str">
        <f t="shared" si="12"/>
        <v>April</v>
      </c>
    </row>
    <row r="777" spans="1:15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4300</v>
      </c>
      <c r="M777" t="s">
        <v>4282</v>
      </c>
      <c r="N777">
        <v>1250.44</v>
      </c>
      <c r="O777" t="str">
        <f t="shared" si="12"/>
        <v>March</v>
      </c>
    </row>
    <row r="778" spans="1:15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  <c r="O778" t="str">
        <f t="shared" si="12"/>
        <v>August</v>
      </c>
    </row>
    <row r="779" spans="1:15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4300</v>
      </c>
      <c r="M779" t="s">
        <v>4281</v>
      </c>
      <c r="N779">
        <v>322.45</v>
      </c>
      <c r="O779" t="str">
        <f t="shared" si="12"/>
        <v>March</v>
      </c>
    </row>
    <row r="780" spans="1:15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  <c r="O780" t="str">
        <f t="shared" si="12"/>
        <v>April</v>
      </c>
    </row>
    <row r="781" spans="1:15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  <c r="O781" t="str">
        <f t="shared" si="12"/>
        <v>December</v>
      </c>
    </row>
    <row r="782" spans="1:15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  <c r="O782" t="str">
        <f t="shared" si="12"/>
        <v>March</v>
      </c>
    </row>
    <row r="783" spans="1:15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  <c r="O783" t="str">
        <f t="shared" si="12"/>
        <v>January</v>
      </c>
    </row>
    <row r="784" spans="1:15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  <c r="O784" t="str">
        <f t="shared" si="12"/>
        <v>August</v>
      </c>
    </row>
    <row r="785" spans="1:15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  <c r="O785" t="str">
        <f t="shared" si="12"/>
        <v>May</v>
      </c>
    </row>
    <row r="786" spans="1:15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  <c r="O786" t="str">
        <f t="shared" si="12"/>
        <v>May</v>
      </c>
    </row>
    <row r="787" spans="1:15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  <c r="O787" t="str">
        <f t="shared" si="12"/>
        <v>July</v>
      </c>
    </row>
    <row r="788" spans="1:15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4300</v>
      </c>
      <c r="M788" t="s">
        <v>4279</v>
      </c>
      <c r="N788">
        <v>226.55</v>
      </c>
      <c r="O788" t="str">
        <f t="shared" si="12"/>
        <v>August</v>
      </c>
    </row>
    <row r="789" spans="1:15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4300</v>
      </c>
      <c r="M789" t="s">
        <v>4282</v>
      </c>
      <c r="N789">
        <v>887.84</v>
      </c>
      <c r="O789" t="str">
        <f t="shared" si="12"/>
        <v>March</v>
      </c>
    </row>
    <row r="790" spans="1:15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  <c r="O790" t="str">
        <f t="shared" si="12"/>
        <v>November</v>
      </c>
    </row>
    <row r="791" spans="1:15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  <c r="O791" t="str">
        <f t="shared" si="12"/>
        <v>August</v>
      </c>
    </row>
    <row r="792" spans="1:15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4300</v>
      </c>
      <c r="M792" t="s">
        <v>4282</v>
      </c>
      <c r="N792">
        <v>1671.56</v>
      </c>
      <c r="O792" t="str">
        <f t="shared" si="12"/>
        <v>September</v>
      </c>
    </row>
    <row r="793" spans="1:15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4300</v>
      </c>
      <c r="M793" t="s">
        <v>4280</v>
      </c>
      <c r="N793">
        <v>1637.12</v>
      </c>
      <c r="O793" t="str">
        <f t="shared" si="12"/>
        <v>January</v>
      </c>
    </row>
    <row r="794" spans="1:15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  <c r="O794" t="str">
        <f t="shared" si="12"/>
        <v>June</v>
      </c>
    </row>
    <row r="795" spans="1:15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4300</v>
      </c>
      <c r="M795" t="s">
        <v>4279</v>
      </c>
      <c r="N795">
        <v>851.1</v>
      </c>
      <c r="O795" t="str">
        <f t="shared" si="12"/>
        <v>April</v>
      </c>
    </row>
    <row r="796" spans="1:15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  <c r="O796" t="str">
        <f t="shared" si="12"/>
        <v>March</v>
      </c>
    </row>
    <row r="797" spans="1:15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  <c r="O797" t="str">
        <f t="shared" si="12"/>
        <v>November</v>
      </c>
    </row>
    <row r="798" spans="1:15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  <c r="O798" t="str">
        <f t="shared" si="12"/>
        <v>April</v>
      </c>
    </row>
    <row r="799" spans="1:15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4300</v>
      </c>
      <c r="M799" t="s">
        <v>4281</v>
      </c>
      <c r="N799">
        <v>877.52</v>
      </c>
      <c r="O799" t="str">
        <f t="shared" si="12"/>
        <v>February</v>
      </c>
    </row>
    <row r="800" spans="1:15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  <c r="O800" t="str">
        <f t="shared" si="12"/>
        <v>May</v>
      </c>
    </row>
    <row r="801" spans="1:15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  <c r="O801" t="str">
        <f t="shared" si="12"/>
        <v>April</v>
      </c>
    </row>
    <row r="802" spans="1:15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  <c r="O802" t="str">
        <f t="shared" si="12"/>
        <v>March</v>
      </c>
    </row>
    <row r="803" spans="1:15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  <c r="O803" t="str">
        <f t="shared" si="12"/>
        <v>May</v>
      </c>
    </row>
    <row r="804" spans="1:15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  <c r="O804" t="str">
        <f t="shared" si="12"/>
        <v>February</v>
      </c>
    </row>
    <row r="805" spans="1:15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  <c r="O805" t="str">
        <f t="shared" si="12"/>
        <v>August</v>
      </c>
    </row>
    <row r="806" spans="1:15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  <c r="O806" t="str">
        <f t="shared" si="12"/>
        <v>January</v>
      </c>
    </row>
    <row r="807" spans="1:15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  <c r="O807" t="str">
        <f t="shared" si="12"/>
        <v>October</v>
      </c>
    </row>
    <row r="808" spans="1:15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  <c r="O808" t="str">
        <f t="shared" si="12"/>
        <v>September</v>
      </c>
    </row>
    <row r="809" spans="1:15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  <c r="O809" t="str">
        <f t="shared" si="12"/>
        <v>November</v>
      </c>
    </row>
    <row r="810" spans="1:15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4300</v>
      </c>
      <c r="M810" t="s">
        <v>4282</v>
      </c>
      <c r="N810">
        <v>402.15</v>
      </c>
      <c r="O810" t="str">
        <f t="shared" si="12"/>
        <v>February</v>
      </c>
    </row>
    <row r="811" spans="1:15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  <c r="O811" t="str">
        <f t="shared" si="12"/>
        <v>April</v>
      </c>
    </row>
    <row r="812" spans="1:15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4300</v>
      </c>
      <c r="M812" t="s">
        <v>4279</v>
      </c>
      <c r="N812">
        <v>553.55999999999995</v>
      </c>
      <c r="O812" t="str">
        <f t="shared" si="12"/>
        <v>May</v>
      </c>
    </row>
    <row r="813" spans="1:15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  <c r="O813" t="str">
        <f t="shared" si="12"/>
        <v>November</v>
      </c>
    </row>
    <row r="814" spans="1:15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  <c r="O814" t="str">
        <f t="shared" si="12"/>
        <v>January</v>
      </c>
    </row>
    <row r="815" spans="1:15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  <c r="O815" t="str">
        <f t="shared" si="12"/>
        <v>March</v>
      </c>
    </row>
    <row r="816" spans="1:15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  <c r="O816" t="str">
        <f t="shared" si="12"/>
        <v>December</v>
      </c>
    </row>
    <row r="817" spans="1:15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  <c r="O817" t="str">
        <f t="shared" si="12"/>
        <v>August</v>
      </c>
    </row>
    <row r="818" spans="1:15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  <c r="O818" t="str">
        <f t="shared" si="12"/>
        <v>February</v>
      </c>
    </row>
    <row r="819" spans="1:15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  <c r="O819" t="str">
        <f t="shared" si="12"/>
        <v>October</v>
      </c>
    </row>
    <row r="820" spans="1:15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  <c r="O820" t="str">
        <f t="shared" si="12"/>
        <v>March</v>
      </c>
    </row>
    <row r="821" spans="1:15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  <c r="O821" t="str">
        <f t="shared" si="12"/>
        <v>September</v>
      </c>
    </row>
    <row r="822" spans="1:15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  <c r="O822" t="str">
        <f t="shared" si="12"/>
        <v>May</v>
      </c>
    </row>
    <row r="823" spans="1:15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  <c r="O823" t="str">
        <f t="shared" si="12"/>
        <v>December</v>
      </c>
    </row>
    <row r="824" spans="1:15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  <c r="O824" t="str">
        <f t="shared" si="12"/>
        <v>March</v>
      </c>
    </row>
    <row r="825" spans="1:15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  <c r="O825" t="str">
        <f t="shared" si="12"/>
        <v>October</v>
      </c>
    </row>
    <row r="826" spans="1:15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  <c r="O826" t="str">
        <f t="shared" si="12"/>
        <v>August</v>
      </c>
    </row>
    <row r="827" spans="1:15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  <c r="O827" t="str">
        <f t="shared" si="12"/>
        <v>March</v>
      </c>
    </row>
    <row r="828" spans="1:15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  <c r="O828" t="str">
        <f t="shared" si="12"/>
        <v>March</v>
      </c>
    </row>
    <row r="829" spans="1:15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  <c r="O829" t="str">
        <f t="shared" si="12"/>
        <v>May</v>
      </c>
    </row>
    <row r="830" spans="1:15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  <c r="O830" t="str">
        <f t="shared" si="12"/>
        <v>July</v>
      </c>
    </row>
    <row r="831" spans="1:15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  <c r="O831" t="str">
        <f t="shared" si="12"/>
        <v>February</v>
      </c>
    </row>
    <row r="832" spans="1:15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  <c r="O832" t="str">
        <f t="shared" si="12"/>
        <v>December</v>
      </c>
    </row>
    <row r="833" spans="1:15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4300</v>
      </c>
      <c r="M833" t="s">
        <v>4282</v>
      </c>
      <c r="N833">
        <v>177.46</v>
      </c>
      <c r="O833" t="str">
        <f t="shared" si="12"/>
        <v>December</v>
      </c>
    </row>
    <row r="834" spans="1:15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  <c r="O834" t="str">
        <f t="shared" si="12"/>
        <v>March</v>
      </c>
    </row>
    <row r="835" spans="1:15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  <c r="O835" t="str">
        <f t="shared" ref="O835:O898" si="13">TEXT(B835, "mmmm")</f>
        <v>March</v>
      </c>
    </row>
    <row r="836" spans="1:15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4300</v>
      </c>
      <c r="M836" t="s">
        <v>4278</v>
      </c>
      <c r="N836">
        <v>110.7</v>
      </c>
      <c r="O836" t="str">
        <f t="shared" si="13"/>
        <v>April</v>
      </c>
    </row>
    <row r="837" spans="1:15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  <c r="O837" t="str">
        <f t="shared" si="13"/>
        <v>March</v>
      </c>
    </row>
    <row r="838" spans="1:15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  <c r="O838" t="str">
        <f t="shared" si="13"/>
        <v>February</v>
      </c>
    </row>
    <row r="839" spans="1:15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4300</v>
      </c>
      <c r="M839" t="s">
        <v>4280</v>
      </c>
      <c r="N839">
        <v>3277.75</v>
      </c>
      <c r="O839" t="str">
        <f t="shared" si="13"/>
        <v>June</v>
      </c>
    </row>
    <row r="840" spans="1:15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4300</v>
      </c>
      <c r="M840" t="s">
        <v>4281</v>
      </c>
      <c r="N840">
        <v>2308.3200000000002</v>
      </c>
      <c r="O840" t="str">
        <f t="shared" si="13"/>
        <v>April</v>
      </c>
    </row>
    <row r="841" spans="1:15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4300</v>
      </c>
      <c r="M841" t="s">
        <v>4282</v>
      </c>
      <c r="N841">
        <v>593.91</v>
      </c>
      <c r="O841" t="str">
        <f t="shared" si="13"/>
        <v>August</v>
      </c>
    </row>
    <row r="842" spans="1:15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  <c r="O842" t="str">
        <f t="shared" si="13"/>
        <v>January</v>
      </c>
    </row>
    <row r="843" spans="1:15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4300</v>
      </c>
      <c r="M843" t="s">
        <v>4281</v>
      </c>
      <c r="N843">
        <v>886.44</v>
      </c>
      <c r="O843" t="str">
        <f t="shared" si="13"/>
        <v>September</v>
      </c>
    </row>
    <row r="844" spans="1:15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  <c r="O844" t="str">
        <f t="shared" si="13"/>
        <v>May</v>
      </c>
    </row>
    <row r="845" spans="1:15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  <c r="O845" t="str">
        <f t="shared" si="13"/>
        <v>May</v>
      </c>
    </row>
    <row r="846" spans="1:15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  <c r="O846" t="str">
        <f t="shared" si="13"/>
        <v>December</v>
      </c>
    </row>
    <row r="847" spans="1:15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  <c r="O847" t="str">
        <f t="shared" si="13"/>
        <v>October</v>
      </c>
    </row>
    <row r="848" spans="1:15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4300</v>
      </c>
      <c r="M848" t="s">
        <v>4279</v>
      </c>
      <c r="N848">
        <v>719.72</v>
      </c>
      <c r="O848" t="str">
        <f t="shared" si="13"/>
        <v>July</v>
      </c>
    </row>
    <row r="849" spans="1:15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  <c r="O849" t="str">
        <f t="shared" si="13"/>
        <v>November</v>
      </c>
    </row>
    <row r="850" spans="1:15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4300</v>
      </c>
      <c r="M850" t="s">
        <v>4279</v>
      </c>
      <c r="N850">
        <v>1291.7</v>
      </c>
      <c r="O850" t="str">
        <f t="shared" si="13"/>
        <v>January</v>
      </c>
    </row>
    <row r="851" spans="1:15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  <c r="O851" t="str">
        <f t="shared" si="13"/>
        <v>June</v>
      </c>
    </row>
    <row r="852" spans="1:15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  <c r="O852" t="str">
        <f t="shared" si="13"/>
        <v>April</v>
      </c>
    </row>
    <row r="853" spans="1:15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  <c r="O853" t="str">
        <f t="shared" si="13"/>
        <v>December</v>
      </c>
    </row>
    <row r="854" spans="1:15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  <c r="O854" t="str">
        <f t="shared" si="13"/>
        <v>October</v>
      </c>
    </row>
    <row r="855" spans="1:15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  <c r="O855" t="str">
        <f t="shared" si="13"/>
        <v>October</v>
      </c>
    </row>
    <row r="856" spans="1:15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  <c r="O856" t="str">
        <f t="shared" si="13"/>
        <v>June</v>
      </c>
    </row>
    <row r="857" spans="1:15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  <c r="O857" t="str">
        <f t="shared" si="13"/>
        <v>May</v>
      </c>
    </row>
    <row r="858" spans="1:15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4300</v>
      </c>
      <c r="M858" t="s">
        <v>4281</v>
      </c>
      <c r="N858">
        <v>586.62</v>
      </c>
      <c r="O858" t="str">
        <f t="shared" si="13"/>
        <v>June</v>
      </c>
    </row>
    <row r="859" spans="1:15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4300</v>
      </c>
      <c r="M859" t="s">
        <v>4278</v>
      </c>
      <c r="N859">
        <v>773.52</v>
      </c>
      <c r="O859" t="str">
        <f t="shared" si="13"/>
        <v>March</v>
      </c>
    </row>
    <row r="860" spans="1:15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4300</v>
      </c>
      <c r="M860" t="s">
        <v>4281</v>
      </c>
      <c r="N860">
        <v>2178.3000000000002</v>
      </c>
      <c r="O860" t="str">
        <f t="shared" si="13"/>
        <v>August</v>
      </c>
    </row>
    <row r="861" spans="1:15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  <c r="O861" t="str">
        <f t="shared" si="13"/>
        <v>August</v>
      </c>
    </row>
    <row r="862" spans="1:15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  <c r="O862" t="str">
        <f t="shared" si="13"/>
        <v>January</v>
      </c>
    </row>
    <row r="863" spans="1:15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  <c r="O863" t="str">
        <f t="shared" si="13"/>
        <v>March</v>
      </c>
    </row>
    <row r="864" spans="1:15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  <c r="O864" t="str">
        <f t="shared" si="13"/>
        <v>December</v>
      </c>
    </row>
    <row r="865" spans="1:15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  <c r="O865" t="str">
        <f t="shared" si="13"/>
        <v>May</v>
      </c>
    </row>
    <row r="866" spans="1:15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  <c r="O866" t="str">
        <f t="shared" si="13"/>
        <v>May</v>
      </c>
    </row>
    <row r="867" spans="1:15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  <c r="O867" t="str">
        <f t="shared" si="13"/>
        <v>April</v>
      </c>
    </row>
    <row r="868" spans="1:15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  <c r="O868" t="str">
        <f t="shared" si="13"/>
        <v>July</v>
      </c>
    </row>
    <row r="869" spans="1:15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  <c r="O869" t="str">
        <f t="shared" si="13"/>
        <v>May</v>
      </c>
    </row>
    <row r="870" spans="1:15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4300</v>
      </c>
      <c r="M870" t="s">
        <v>4281</v>
      </c>
      <c r="N870">
        <v>1265.28</v>
      </c>
      <c r="O870" t="str">
        <f t="shared" si="13"/>
        <v>June</v>
      </c>
    </row>
    <row r="871" spans="1:15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  <c r="O871" t="str">
        <f t="shared" si="13"/>
        <v>March</v>
      </c>
    </row>
    <row r="872" spans="1:15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  <c r="O872" t="str">
        <f t="shared" si="13"/>
        <v>June</v>
      </c>
    </row>
    <row r="873" spans="1:15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  <c r="O873" t="str">
        <f t="shared" si="13"/>
        <v>May</v>
      </c>
    </row>
    <row r="874" spans="1:15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4300</v>
      </c>
      <c r="M874" t="s">
        <v>4280</v>
      </c>
      <c r="N874">
        <v>2517.36</v>
      </c>
      <c r="O874" t="str">
        <f t="shared" si="13"/>
        <v>July</v>
      </c>
    </row>
    <row r="875" spans="1:15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  <c r="O875" t="str">
        <f t="shared" si="13"/>
        <v>May</v>
      </c>
    </row>
    <row r="876" spans="1:15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  <c r="O876" t="str">
        <f t="shared" si="13"/>
        <v>October</v>
      </c>
    </row>
    <row r="877" spans="1:15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  <c r="O877" t="str">
        <f t="shared" si="13"/>
        <v>August</v>
      </c>
    </row>
    <row r="878" spans="1:15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  <c r="O878" t="str">
        <f t="shared" si="13"/>
        <v>June</v>
      </c>
    </row>
    <row r="879" spans="1:15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  <c r="O879" t="str">
        <f t="shared" si="13"/>
        <v>July</v>
      </c>
    </row>
    <row r="880" spans="1:15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  <c r="O880" t="str">
        <f t="shared" si="13"/>
        <v>June</v>
      </c>
    </row>
    <row r="881" spans="1:15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4300</v>
      </c>
      <c r="M881" t="s">
        <v>4278</v>
      </c>
      <c r="N881">
        <v>1095.3399999999999</v>
      </c>
      <c r="O881" t="str">
        <f t="shared" si="13"/>
        <v>April</v>
      </c>
    </row>
    <row r="882" spans="1:15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  <c r="O882" t="str">
        <f t="shared" si="13"/>
        <v>March</v>
      </c>
    </row>
    <row r="883" spans="1:15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4300</v>
      </c>
      <c r="M883" t="s">
        <v>4278</v>
      </c>
      <c r="N883">
        <v>897.7</v>
      </c>
      <c r="O883" t="str">
        <f t="shared" si="13"/>
        <v>January</v>
      </c>
    </row>
    <row r="884" spans="1:15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  <c r="O884" t="str">
        <f t="shared" si="13"/>
        <v>June</v>
      </c>
    </row>
    <row r="885" spans="1:15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  <c r="O885" t="str">
        <f t="shared" si="13"/>
        <v>May</v>
      </c>
    </row>
    <row r="886" spans="1:15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4300</v>
      </c>
      <c r="M886" t="s">
        <v>4278</v>
      </c>
      <c r="N886">
        <v>595.54</v>
      </c>
      <c r="O886" t="str">
        <f t="shared" si="13"/>
        <v>May</v>
      </c>
    </row>
    <row r="887" spans="1:15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  <c r="O887" t="str">
        <f t="shared" si="13"/>
        <v>April</v>
      </c>
    </row>
    <row r="888" spans="1:15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4300</v>
      </c>
      <c r="M888" t="s">
        <v>4282</v>
      </c>
      <c r="N888">
        <v>460.13</v>
      </c>
      <c r="O888" t="str">
        <f t="shared" si="13"/>
        <v>October</v>
      </c>
    </row>
    <row r="889" spans="1:15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4300</v>
      </c>
      <c r="M889" t="s">
        <v>4282</v>
      </c>
      <c r="N889">
        <v>514.98</v>
      </c>
      <c r="O889" t="str">
        <f t="shared" si="13"/>
        <v>December</v>
      </c>
    </row>
    <row r="890" spans="1:15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4300</v>
      </c>
      <c r="M890" t="s">
        <v>4278</v>
      </c>
      <c r="N890">
        <v>533.9</v>
      </c>
      <c r="O890" t="str">
        <f t="shared" si="13"/>
        <v>July</v>
      </c>
    </row>
    <row r="891" spans="1:15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  <c r="O891" t="str">
        <f t="shared" si="13"/>
        <v>October</v>
      </c>
    </row>
    <row r="892" spans="1:15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4300</v>
      </c>
      <c r="M892" t="s">
        <v>4282</v>
      </c>
      <c r="N892">
        <v>1318.59</v>
      </c>
      <c r="O892" t="str">
        <f t="shared" si="13"/>
        <v>August</v>
      </c>
    </row>
    <row r="893" spans="1:15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  <c r="O893" t="str">
        <f t="shared" si="13"/>
        <v>November</v>
      </c>
    </row>
    <row r="894" spans="1:15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  <c r="O894" t="str">
        <f t="shared" si="13"/>
        <v>June</v>
      </c>
    </row>
    <row r="895" spans="1:15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  <c r="O895" t="str">
        <f t="shared" si="13"/>
        <v>March</v>
      </c>
    </row>
    <row r="896" spans="1:15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  <c r="O896" t="str">
        <f t="shared" si="13"/>
        <v>May</v>
      </c>
    </row>
    <row r="897" spans="1:15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  <c r="O897" t="str">
        <f t="shared" si="13"/>
        <v>November</v>
      </c>
    </row>
    <row r="898" spans="1:15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  <c r="O898" t="str">
        <f t="shared" si="13"/>
        <v>October</v>
      </c>
    </row>
    <row r="899" spans="1:15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  <c r="O899" t="str">
        <f t="shared" ref="O899:O962" si="14">TEXT(B899, "mmmm")</f>
        <v>September</v>
      </c>
    </row>
    <row r="900" spans="1:15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4300</v>
      </c>
      <c r="M900" t="s">
        <v>4279</v>
      </c>
      <c r="N900">
        <v>475.11</v>
      </c>
      <c r="O900" t="str">
        <f t="shared" si="14"/>
        <v>March</v>
      </c>
    </row>
    <row r="901" spans="1:15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  <c r="O901" t="str">
        <f t="shared" si="14"/>
        <v>April</v>
      </c>
    </row>
    <row r="902" spans="1:15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4300</v>
      </c>
      <c r="M902" t="s">
        <v>4278</v>
      </c>
      <c r="N902">
        <v>369.15</v>
      </c>
      <c r="O902" t="str">
        <f t="shared" si="14"/>
        <v>February</v>
      </c>
    </row>
    <row r="903" spans="1:15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  <c r="O903" t="str">
        <f t="shared" si="14"/>
        <v>April</v>
      </c>
    </row>
    <row r="904" spans="1:15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4300</v>
      </c>
      <c r="M904" t="s">
        <v>4281</v>
      </c>
      <c r="N904">
        <v>721</v>
      </c>
      <c r="O904" t="str">
        <f t="shared" si="14"/>
        <v>July</v>
      </c>
    </row>
    <row r="905" spans="1:15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4300</v>
      </c>
      <c r="M905" t="s">
        <v>4280</v>
      </c>
      <c r="N905">
        <v>1420.47</v>
      </c>
      <c r="O905" t="str">
        <f t="shared" si="14"/>
        <v>May</v>
      </c>
    </row>
    <row r="906" spans="1:15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  <c r="O906" t="str">
        <f t="shared" si="14"/>
        <v>February</v>
      </c>
    </row>
    <row r="907" spans="1:15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  <c r="O907" t="str">
        <f t="shared" si="14"/>
        <v>November</v>
      </c>
    </row>
    <row r="908" spans="1:15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4300</v>
      </c>
      <c r="M908" t="s">
        <v>4280</v>
      </c>
      <c r="N908">
        <v>62.12</v>
      </c>
      <c r="O908" t="str">
        <f t="shared" si="14"/>
        <v>September</v>
      </c>
    </row>
    <row r="909" spans="1:15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  <c r="O909" t="str">
        <f t="shared" si="14"/>
        <v>August</v>
      </c>
    </row>
    <row r="910" spans="1:15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  <c r="O910" t="str">
        <f t="shared" si="14"/>
        <v>May</v>
      </c>
    </row>
    <row r="911" spans="1:15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  <c r="O911" t="str">
        <f t="shared" si="14"/>
        <v>May</v>
      </c>
    </row>
    <row r="912" spans="1:15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  <c r="O912" t="str">
        <f t="shared" si="14"/>
        <v>May</v>
      </c>
    </row>
    <row r="913" spans="1:15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  <c r="O913" t="str">
        <f t="shared" si="14"/>
        <v>August</v>
      </c>
    </row>
    <row r="914" spans="1:15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  <c r="O914" t="str">
        <f t="shared" si="14"/>
        <v>January</v>
      </c>
    </row>
    <row r="915" spans="1:15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  <c r="O915" t="str">
        <f t="shared" si="14"/>
        <v>February</v>
      </c>
    </row>
    <row r="916" spans="1:15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  <c r="O916" t="str">
        <f t="shared" si="14"/>
        <v>February</v>
      </c>
    </row>
    <row r="917" spans="1:15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  <c r="O917" t="str">
        <f t="shared" si="14"/>
        <v>February</v>
      </c>
    </row>
    <row r="918" spans="1:15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4300</v>
      </c>
      <c r="M918" t="s">
        <v>4279</v>
      </c>
      <c r="N918">
        <v>2894.15</v>
      </c>
      <c r="O918" t="str">
        <f t="shared" si="14"/>
        <v>June</v>
      </c>
    </row>
    <row r="919" spans="1:15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  <c r="O919" t="str">
        <f t="shared" si="14"/>
        <v>January</v>
      </c>
    </row>
    <row r="920" spans="1:15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4300</v>
      </c>
      <c r="M920" t="s">
        <v>4278</v>
      </c>
      <c r="N920">
        <v>1841.25</v>
      </c>
      <c r="O920" t="str">
        <f t="shared" si="14"/>
        <v>June</v>
      </c>
    </row>
    <row r="921" spans="1:15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  <c r="O921" t="str">
        <f t="shared" si="14"/>
        <v>February</v>
      </c>
    </row>
    <row r="922" spans="1:15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4300</v>
      </c>
      <c r="M922" t="s">
        <v>4278</v>
      </c>
      <c r="N922">
        <v>856.18</v>
      </c>
      <c r="O922" t="str">
        <f t="shared" si="14"/>
        <v>March</v>
      </c>
    </row>
    <row r="923" spans="1:15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  <c r="O923" t="str">
        <f t="shared" si="14"/>
        <v>July</v>
      </c>
    </row>
    <row r="924" spans="1:15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4300</v>
      </c>
      <c r="M924" t="s">
        <v>4278</v>
      </c>
      <c r="N924">
        <v>1127.6400000000001</v>
      </c>
      <c r="O924" t="str">
        <f t="shared" si="14"/>
        <v>June</v>
      </c>
    </row>
    <row r="925" spans="1:15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  <c r="O925" t="str">
        <f t="shared" si="14"/>
        <v>February</v>
      </c>
    </row>
    <row r="926" spans="1:15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  <c r="O926" t="str">
        <f t="shared" si="14"/>
        <v>March</v>
      </c>
    </row>
    <row r="927" spans="1:15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  <c r="O927" t="str">
        <f t="shared" si="14"/>
        <v>December</v>
      </c>
    </row>
    <row r="928" spans="1:15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  <c r="O928" t="str">
        <f t="shared" si="14"/>
        <v>March</v>
      </c>
    </row>
    <row r="929" spans="1:15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  <c r="O929" t="str">
        <f t="shared" si="14"/>
        <v>February</v>
      </c>
    </row>
    <row r="930" spans="1:15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  <c r="O930" t="str">
        <f t="shared" si="14"/>
        <v>May</v>
      </c>
    </row>
    <row r="931" spans="1:15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4300</v>
      </c>
      <c r="M931" t="s">
        <v>4280</v>
      </c>
      <c r="N931">
        <v>1072.5</v>
      </c>
      <c r="O931" t="str">
        <f t="shared" si="14"/>
        <v>October</v>
      </c>
    </row>
    <row r="932" spans="1:15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  <c r="O932" t="str">
        <f t="shared" si="14"/>
        <v>December</v>
      </c>
    </row>
    <row r="933" spans="1:15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  <c r="O933" t="str">
        <f t="shared" si="14"/>
        <v>January</v>
      </c>
    </row>
    <row r="934" spans="1:15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  <c r="O934" t="str">
        <f t="shared" si="14"/>
        <v>March</v>
      </c>
    </row>
    <row r="935" spans="1:15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4300</v>
      </c>
      <c r="M935" t="s">
        <v>4279</v>
      </c>
      <c r="N935">
        <v>788.32</v>
      </c>
      <c r="O935" t="str">
        <f t="shared" si="14"/>
        <v>January</v>
      </c>
    </row>
    <row r="936" spans="1:15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  <c r="O936" t="str">
        <f t="shared" si="14"/>
        <v>June</v>
      </c>
    </row>
    <row r="937" spans="1:15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  <c r="O937" t="str">
        <f t="shared" si="14"/>
        <v>November</v>
      </c>
    </row>
    <row r="938" spans="1:15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  <c r="O938" t="str">
        <f t="shared" si="14"/>
        <v>January</v>
      </c>
    </row>
    <row r="939" spans="1:15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  <c r="O939" t="str">
        <f t="shared" si="14"/>
        <v>January</v>
      </c>
    </row>
    <row r="940" spans="1:15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  <c r="O940" t="str">
        <f t="shared" si="14"/>
        <v>July</v>
      </c>
    </row>
    <row r="941" spans="1:15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  <c r="O941" t="str">
        <f t="shared" si="14"/>
        <v>April</v>
      </c>
    </row>
    <row r="942" spans="1:15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  <c r="O942" t="str">
        <f t="shared" si="14"/>
        <v>March</v>
      </c>
    </row>
    <row r="943" spans="1:15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  <c r="O943" t="str">
        <f t="shared" si="14"/>
        <v>July</v>
      </c>
    </row>
    <row r="944" spans="1:15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4300</v>
      </c>
      <c r="M944" t="s">
        <v>4280</v>
      </c>
      <c r="N944">
        <v>479.76</v>
      </c>
      <c r="O944" t="str">
        <f t="shared" si="14"/>
        <v>September</v>
      </c>
    </row>
    <row r="945" spans="1:15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  <c r="O945" t="str">
        <f t="shared" si="14"/>
        <v>December</v>
      </c>
    </row>
    <row r="946" spans="1:15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  <c r="O946" t="str">
        <f t="shared" si="14"/>
        <v>December</v>
      </c>
    </row>
    <row r="947" spans="1:15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  <c r="O947" t="str">
        <f t="shared" si="14"/>
        <v>August</v>
      </c>
    </row>
    <row r="948" spans="1:15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  <c r="O948" t="str">
        <f t="shared" si="14"/>
        <v>May</v>
      </c>
    </row>
    <row r="949" spans="1:15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  <c r="O949" t="str">
        <f t="shared" si="14"/>
        <v>September</v>
      </c>
    </row>
    <row r="950" spans="1:15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4300</v>
      </c>
      <c r="M950" t="s">
        <v>4282</v>
      </c>
      <c r="N950">
        <v>1188.1400000000001</v>
      </c>
      <c r="O950" t="str">
        <f t="shared" si="14"/>
        <v>June</v>
      </c>
    </row>
    <row r="951" spans="1:15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4300</v>
      </c>
      <c r="M951" t="s">
        <v>4279</v>
      </c>
      <c r="N951">
        <v>551.9</v>
      </c>
      <c r="O951" t="str">
        <f t="shared" si="14"/>
        <v>November</v>
      </c>
    </row>
    <row r="952" spans="1:15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  <c r="O952" t="str">
        <f t="shared" si="14"/>
        <v>May</v>
      </c>
    </row>
    <row r="953" spans="1:15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  <c r="O953" t="str">
        <f t="shared" si="14"/>
        <v>July</v>
      </c>
    </row>
    <row r="954" spans="1:15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4300</v>
      </c>
      <c r="M954" t="s">
        <v>4281</v>
      </c>
      <c r="N954">
        <v>1510.17</v>
      </c>
      <c r="O954" t="str">
        <f t="shared" si="14"/>
        <v>February</v>
      </c>
    </row>
    <row r="955" spans="1:15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  <c r="O955" t="str">
        <f t="shared" si="14"/>
        <v>February</v>
      </c>
    </row>
    <row r="956" spans="1:15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  <c r="O956" t="str">
        <f t="shared" si="14"/>
        <v>October</v>
      </c>
    </row>
    <row r="957" spans="1:15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  <c r="O957" t="str">
        <f t="shared" si="14"/>
        <v>January</v>
      </c>
    </row>
    <row r="958" spans="1:15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  <c r="O958" t="str">
        <f t="shared" si="14"/>
        <v>April</v>
      </c>
    </row>
    <row r="959" spans="1:15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  <c r="O959" t="str">
        <f t="shared" si="14"/>
        <v>January</v>
      </c>
    </row>
    <row r="960" spans="1:15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  <c r="O960" t="str">
        <f t="shared" si="14"/>
        <v>May</v>
      </c>
    </row>
    <row r="961" spans="1:15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  <c r="O961" t="str">
        <f t="shared" si="14"/>
        <v>April</v>
      </c>
    </row>
    <row r="962" spans="1:15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  <c r="O962" t="str">
        <f t="shared" si="14"/>
        <v>December</v>
      </c>
    </row>
    <row r="963" spans="1:15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4300</v>
      </c>
      <c r="M963" t="s">
        <v>4281</v>
      </c>
      <c r="N963">
        <v>601.36</v>
      </c>
      <c r="O963" t="str">
        <f t="shared" ref="O963:O1026" si="15">TEXT(B963, "mmmm")</f>
        <v>November</v>
      </c>
    </row>
    <row r="964" spans="1:15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  <c r="O964" t="str">
        <f t="shared" si="15"/>
        <v>September</v>
      </c>
    </row>
    <row r="965" spans="1:15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  <c r="O965" t="str">
        <f t="shared" si="15"/>
        <v>March</v>
      </c>
    </row>
    <row r="966" spans="1:15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  <c r="O966" t="str">
        <f t="shared" si="15"/>
        <v>August</v>
      </c>
    </row>
    <row r="967" spans="1:15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  <c r="O967" t="str">
        <f t="shared" si="15"/>
        <v>June</v>
      </c>
    </row>
    <row r="968" spans="1:15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  <c r="O968" t="str">
        <f t="shared" si="15"/>
        <v>May</v>
      </c>
    </row>
    <row r="969" spans="1:15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  <c r="O969" t="str">
        <f t="shared" si="15"/>
        <v>May</v>
      </c>
    </row>
    <row r="970" spans="1:15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  <c r="O970" t="str">
        <f t="shared" si="15"/>
        <v>February</v>
      </c>
    </row>
    <row r="971" spans="1:15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  <c r="O971" t="str">
        <f t="shared" si="15"/>
        <v>June</v>
      </c>
    </row>
    <row r="972" spans="1:15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  <c r="O972" t="str">
        <f t="shared" si="15"/>
        <v>September</v>
      </c>
    </row>
    <row r="973" spans="1:15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  <c r="O973" t="str">
        <f t="shared" si="15"/>
        <v>May</v>
      </c>
    </row>
    <row r="974" spans="1:15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  <c r="O974" t="str">
        <f t="shared" si="15"/>
        <v>June</v>
      </c>
    </row>
    <row r="975" spans="1:15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  <c r="O975" t="str">
        <f t="shared" si="15"/>
        <v>June</v>
      </c>
    </row>
    <row r="976" spans="1:15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4300</v>
      </c>
      <c r="M976" t="s">
        <v>4280</v>
      </c>
      <c r="N976">
        <v>1333.9</v>
      </c>
      <c r="O976" t="str">
        <f t="shared" si="15"/>
        <v>September</v>
      </c>
    </row>
    <row r="977" spans="1:15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  <c r="O977" t="str">
        <f t="shared" si="15"/>
        <v>May</v>
      </c>
    </row>
    <row r="978" spans="1:15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  <c r="O978" t="str">
        <f t="shared" si="15"/>
        <v>April</v>
      </c>
    </row>
    <row r="979" spans="1:15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  <c r="O979" t="str">
        <f t="shared" si="15"/>
        <v>January</v>
      </c>
    </row>
    <row r="980" spans="1:15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4300</v>
      </c>
      <c r="M980" t="s">
        <v>4282</v>
      </c>
      <c r="N980">
        <v>429.96</v>
      </c>
      <c r="O980" t="str">
        <f t="shared" si="15"/>
        <v>June</v>
      </c>
    </row>
    <row r="981" spans="1:15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  <c r="O981" t="str">
        <f t="shared" si="15"/>
        <v>May</v>
      </c>
    </row>
    <row r="982" spans="1:15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  <c r="O982" t="str">
        <f t="shared" si="15"/>
        <v>October</v>
      </c>
    </row>
    <row r="983" spans="1:15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  <c r="O983" t="str">
        <f t="shared" si="15"/>
        <v>November</v>
      </c>
    </row>
    <row r="984" spans="1:15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  <c r="O984" t="str">
        <f t="shared" si="15"/>
        <v>September</v>
      </c>
    </row>
    <row r="985" spans="1:15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  <c r="O985" t="str">
        <f t="shared" si="15"/>
        <v>November</v>
      </c>
    </row>
    <row r="986" spans="1:15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  <c r="O986" t="str">
        <f t="shared" si="15"/>
        <v>February</v>
      </c>
    </row>
    <row r="987" spans="1:15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  <c r="O987" t="str">
        <f t="shared" si="15"/>
        <v>July</v>
      </c>
    </row>
    <row r="988" spans="1:15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  <c r="O988" t="str">
        <f t="shared" si="15"/>
        <v>September</v>
      </c>
    </row>
    <row r="989" spans="1:15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  <c r="O989" t="str">
        <f t="shared" si="15"/>
        <v>June</v>
      </c>
    </row>
    <row r="990" spans="1:15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  <c r="O990" t="str">
        <f t="shared" si="15"/>
        <v>February</v>
      </c>
    </row>
    <row r="991" spans="1:15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  <c r="O991" t="str">
        <f t="shared" si="15"/>
        <v>March</v>
      </c>
    </row>
    <row r="992" spans="1:15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  <c r="O992" t="str">
        <f t="shared" si="15"/>
        <v>November</v>
      </c>
    </row>
    <row r="993" spans="1:15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  <c r="O993" t="str">
        <f t="shared" si="15"/>
        <v>May</v>
      </c>
    </row>
    <row r="994" spans="1:15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  <c r="O994" t="str">
        <f t="shared" si="15"/>
        <v>August</v>
      </c>
    </row>
    <row r="995" spans="1:15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  <c r="O995" t="str">
        <f t="shared" si="15"/>
        <v>April</v>
      </c>
    </row>
    <row r="996" spans="1:15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  <c r="O996" t="str">
        <f t="shared" si="15"/>
        <v>June</v>
      </c>
    </row>
    <row r="997" spans="1:15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  <c r="O997" t="str">
        <f t="shared" si="15"/>
        <v>November</v>
      </c>
    </row>
    <row r="998" spans="1:15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  <c r="O998" t="str">
        <f t="shared" si="15"/>
        <v>April</v>
      </c>
    </row>
    <row r="999" spans="1:15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  <c r="O999" t="str">
        <f t="shared" si="15"/>
        <v>November</v>
      </c>
    </row>
    <row r="1000" spans="1:15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  <c r="O1000" t="str">
        <f t="shared" si="15"/>
        <v>May</v>
      </c>
    </row>
    <row r="1001" spans="1:15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  <c r="O1001" t="str">
        <f t="shared" si="15"/>
        <v>December</v>
      </c>
    </row>
    <row r="1002" spans="1:15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  <c r="O1002" t="str">
        <f t="shared" si="15"/>
        <v>June</v>
      </c>
    </row>
    <row r="1003" spans="1:15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4300</v>
      </c>
      <c r="M1003" t="s">
        <v>4279</v>
      </c>
      <c r="N1003">
        <v>507.36</v>
      </c>
      <c r="O1003" t="str">
        <f t="shared" si="15"/>
        <v>December</v>
      </c>
    </row>
    <row r="1004" spans="1:15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  <c r="O1004" t="str">
        <f t="shared" si="15"/>
        <v>June</v>
      </c>
    </row>
    <row r="1005" spans="1:15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  <c r="O1005" t="str">
        <f t="shared" si="15"/>
        <v>January</v>
      </c>
    </row>
    <row r="1006" spans="1:15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  <c r="O1006" t="str">
        <f t="shared" si="15"/>
        <v>June</v>
      </c>
    </row>
    <row r="1007" spans="1:15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4300</v>
      </c>
      <c r="M1007" t="s">
        <v>4282</v>
      </c>
      <c r="N1007">
        <v>1178.55</v>
      </c>
      <c r="O1007" t="str">
        <f t="shared" si="15"/>
        <v>March</v>
      </c>
    </row>
    <row r="1008" spans="1:15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  <c r="O1008" t="str">
        <f t="shared" si="15"/>
        <v>May</v>
      </c>
    </row>
    <row r="1009" spans="1:15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  <c r="O1009" t="str">
        <f t="shared" si="15"/>
        <v>March</v>
      </c>
    </row>
    <row r="1010" spans="1:15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  <c r="O1010" t="str">
        <f t="shared" si="15"/>
        <v>January</v>
      </c>
    </row>
    <row r="1011" spans="1:15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  <c r="O1011" t="str">
        <f t="shared" si="15"/>
        <v>September</v>
      </c>
    </row>
    <row r="1012" spans="1:15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  <c r="O1012" t="str">
        <f t="shared" si="15"/>
        <v>March</v>
      </c>
    </row>
    <row r="1013" spans="1:15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4300</v>
      </c>
      <c r="M1013" t="s">
        <v>4282</v>
      </c>
      <c r="N1013">
        <v>956.72</v>
      </c>
      <c r="O1013" t="str">
        <f t="shared" si="15"/>
        <v>December</v>
      </c>
    </row>
    <row r="1014" spans="1:15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4300</v>
      </c>
      <c r="M1014" t="s">
        <v>4281</v>
      </c>
      <c r="N1014">
        <v>120.2</v>
      </c>
      <c r="O1014" t="str">
        <f t="shared" si="15"/>
        <v>December</v>
      </c>
    </row>
    <row r="1015" spans="1:15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  <c r="O1015" t="str">
        <f t="shared" si="15"/>
        <v>April</v>
      </c>
    </row>
    <row r="1016" spans="1:15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  <c r="O1016" t="str">
        <f t="shared" si="15"/>
        <v>February</v>
      </c>
    </row>
    <row r="1017" spans="1:15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  <c r="O1017" t="str">
        <f t="shared" si="15"/>
        <v>January</v>
      </c>
    </row>
    <row r="1018" spans="1:15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  <c r="O1018" t="str">
        <f t="shared" si="15"/>
        <v>December</v>
      </c>
    </row>
    <row r="1019" spans="1:15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  <c r="O1019" t="str">
        <f t="shared" si="15"/>
        <v>August</v>
      </c>
    </row>
    <row r="1020" spans="1:15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4300</v>
      </c>
      <c r="M1020" t="s">
        <v>4278</v>
      </c>
      <c r="N1020">
        <v>547.43999999999994</v>
      </c>
      <c r="O1020" t="str">
        <f t="shared" si="15"/>
        <v>July</v>
      </c>
    </row>
    <row r="1021" spans="1:15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  <c r="O1021" t="str">
        <f t="shared" si="15"/>
        <v>April</v>
      </c>
    </row>
    <row r="1022" spans="1:15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  <c r="O1022" t="str">
        <f t="shared" si="15"/>
        <v>April</v>
      </c>
    </row>
    <row r="1023" spans="1:15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  <c r="O1023" t="str">
        <f t="shared" si="15"/>
        <v>October</v>
      </c>
    </row>
    <row r="1024" spans="1:15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  <c r="O1024" t="str">
        <f t="shared" si="15"/>
        <v>February</v>
      </c>
    </row>
    <row r="1025" spans="1:15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4300</v>
      </c>
      <c r="M1025" t="s">
        <v>4279</v>
      </c>
      <c r="N1025">
        <v>1168.3499999999999</v>
      </c>
      <c r="O1025" t="str">
        <f t="shared" si="15"/>
        <v>September</v>
      </c>
    </row>
    <row r="1026" spans="1:15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  <c r="O1026" t="str">
        <f t="shared" si="15"/>
        <v>January</v>
      </c>
    </row>
    <row r="1027" spans="1:15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  <c r="O1027" t="str">
        <f t="shared" ref="O1027:O1090" si="16">TEXT(B1027, "mmmm")</f>
        <v>May</v>
      </c>
    </row>
    <row r="1028" spans="1:15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  <c r="O1028" t="str">
        <f t="shared" si="16"/>
        <v>May</v>
      </c>
    </row>
    <row r="1029" spans="1:15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4300</v>
      </c>
      <c r="M1029" t="s">
        <v>4282</v>
      </c>
      <c r="N1029">
        <v>2219.3200000000002</v>
      </c>
      <c r="O1029" t="str">
        <f t="shared" si="16"/>
        <v>May</v>
      </c>
    </row>
    <row r="1030" spans="1:15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4300</v>
      </c>
      <c r="M1030" t="s">
        <v>4278</v>
      </c>
      <c r="N1030">
        <v>1761.24</v>
      </c>
      <c r="O1030" t="str">
        <f t="shared" si="16"/>
        <v>February</v>
      </c>
    </row>
    <row r="1031" spans="1:15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  <c r="O1031" t="str">
        <f t="shared" si="16"/>
        <v>March</v>
      </c>
    </row>
    <row r="1032" spans="1:15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  <c r="O1032" t="str">
        <f t="shared" si="16"/>
        <v>October</v>
      </c>
    </row>
    <row r="1033" spans="1:15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  <c r="O1033" t="str">
        <f t="shared" si="16"/>
        <v>February</v>
      </c>
    </row>
    <row r="1034" spans="1:15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  <c r="O1034" t="str">
        <f t="shared" si="16"/>
        <v>April</v>
      </c>
    </row>
    <row r="1035" spans="1:15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  <c r="O1035" t="str">
        <f t="shared" si="16"/>
        <v>December</v>
      </c>
    </row>
    <row r="1036" spans="1:15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  <c r="O1036" t="str">
        <f t="shared" si="16"/>
        <v>June</v>
      </c>
    </row>
    <row r="1037" spans="1:15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4300</v>
      </c>
      <c r="M1037" t="s">
        <v>4279</v>
      </c>
      <c r="N1037">
        <v>2024.44</v>
      </c>
      <c r="O1037" t="str">
        <f t="shared" si="16"/>
        <v>November</v>
      </c>
    </row>
    <row r="1038" spans="1:15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  <c r="O1038" t="str">
        <f t="shared" si="16"/>
        <v>May</v>
      </c>
    </row>
    <row r="1039" spans="1:15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  <c r="O1039" t="str">
        <f t="shared" si="16"/>
        <v>December</v>
      </c>
    </row>
    <row r="1040" spans="1:15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4300</v>
      </c>
      <c r="M1040" t="s">
        <v>4281</v>
      </c>
      <c r="N1040">
        <v>1087.5899999999999</v>
      </c>
      <c r="O1040" t="str">
        <f t="shared" si="16"/>
        <v>March</v>
      </c>
    </row>
    <row r="1041" spans="1:15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  <c r="O1041" t="str">
        <f t="shared" si="16"/>
        <v>June</v>
      </c>
    </row>
    <row r="1042" spans="1:15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  <c r="O1042" t="str">
        <f t="shared" si="16"/>
        <v>November</v>
      </c>
    </row>
    <row r="1043" spans="1:15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  <c r="O1043" t="str">
        <f t="shared" si="16"/>
        <v>February</v>
      </c>
    </row>
    <row r="1044" spans="1:15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  <c r="O1044" t="str">
        <f t="shared" si="16"/>
        <v>December</v>
      </c>
    </row>
    <row r="1045" spans="1:15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4300</v>
      </c>
      <c r="M1045" t="s">
        <v>4278</v>
      </c>
      <c r="N1045">
        <v>359.92</v>
      </c>
      <c r="O1045" t="str">
        <f t="shared" si="16"/>
        <v>January</v>
      </c>
    </row>
    <row r="1046" spans="1:15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  <c r="O1046" t="str">
        <f t="shared" si="16"/>
        <v>June</v>
      </c>
    </row>
    <row r="1047" spans="1:15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4300</v>
      </c>
      <c r="M1047" t="s">
        <v>4280</v>
      </c>
      <c r="N1047">
        <v>1582</v>
      </c>
      <c r="O1047" t="str">
        <f t="shared" si="16"/>
        <v>September</v>
      </c>
    </row>
    <row r="1048" spans="1:15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  <c r="O1048" t="str">
        <f t="shared" si="16"/>
        <v>October</v>
      </c>
    </row>
    <row r="1049" spans="1:15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  <c r="O1049" t="str">
        <f t="shared" si="16"/>
        <v>June</v>
      </c>
    </row>
    <row r="1050" spans="1:15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4300</v>
      </c>
      <c r="M1050" t="s">
        <v>4282</v>
      </c>
      <c r="N1050">
        <v>294.60000000000002</v>
      </c>
      <c r="O1050" t="str">
        <f t="shared" si="16"/>
        <v>September</v>
      </c>
    </row>
    <row r="1051" spans="1:15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4300</v>
      </c>
      <c r="M1051" t="s">
        <v>4278</v>
      </c>
      <c r="N1051">
        <v>1959.3</v>
      </c>
      <c r="O1051" t="str">
        <f t="shared" si="16"/>
        <v>July</v>
      </c>
    </row>
    <row r="1052" spans="1:15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4300</v>
      </c>
      <c r="M1052" t="s">
        <v>4278</v>
      </c>
      <c r="N1052">
        <v>348.5</v>
      </c>
      <c r="O1052" t="str">
        <f t="shared" si="16"/>
        <v>August</v>
      </c>
    </row>
    <row r="1053" spans="1:15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  <c r="O1053" t="str">
        <f t="shared" si="16"/>
        <v>March</v>
      </c>
    </row>
    <row r="1054" spans="1:15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  <c r="O1054" t="str">
        <f t="shared" si="16"/>
        <v>September</v>
      </c>
    </row>
    <row r="1055" spans="1:15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  <c r="O1055" t="str">
        <f t="shared" si="16"/>
        <v>September</v>
      </c>
    </row>
    <row r="1056" spans="1:15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  <c r="O1056" t="str">
        <f t="shared" si="16"/>
        <v>November</v>
      </c>
    </row>
    <row r="1057" spans="1:15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  <c r="O1057" t="str">
        <f t="shared" si="16"/>
        <v>October</v>
      </c>
    </row>
    <row r="1058" spans="1:15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  <c r="O1058" t="str">
        <f t="shared" si="16"/>
        <v>June</v>
      </c>
    </row>
    <row r="1059" spans="1:15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  <c r="O1059" t="str">
        <f t="shared" si="16"/>
        <v>September</v>
      </c>
    </row>
    <row r="1060" spans="1:15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  <c r="O1060" t="str">
        <f t="shared" si="16"/>
        <v>September</v>
      </c>
    </row>
    <row r="1061" spans="1:15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  <c r="O1061" t="str">
        <f t="shared" si="16"/>
        <v>September</v>
      </c>
    </row>
    <row r="1062" spans="1:15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  <c r="O1062" t="str">
        <f t="shared" si="16"/>
        <v>May</v>
      </c>
    </row>
    <row r="1063" spans="1:15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  <c r="O1063" t="str">
        <f t="shared" si="16"/>
        <v>January</v>
      </c>
    </row>
    <row r="1064" spans="1:15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4300</v>
      </c>
      <c r="M1064" t="s">
        <v>4281</v>
      </c>
      <c r="N1064">
        <v>427.6</v>
      </c>
      <c r="O1064" t="str">
        <f t="shared" si="16"/>
        <v>August</v>
      </c>
    </row>
    <row r="1065" spans="1:15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  <c r="O1065" t="str">
        <f t="shared" si="16"/>
        <v>June</v>
      </c>
    </row>
    <row r="1066" spans="1:15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  <c r="O1066" t="str">
        <f t="shared" si="16"/>
        <v>February</v>
      </c>
    </row>
    <row r="1067" spans="1:15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  <c r="O1067" t="str">
        <f t="shared" si="16"/>
        <v>October</v>
      </c>
    </row>
    <row r="1068" spans="1:15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  <c r="O1068" t="str">
        <f t="shared" si="16"/>
        <v>December</v>
      </c>
    </row>
    <row r="1069" spans="1:15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4300</v>
      </c>
      <c r="M1069" t="s">
        <v>4278</v>
      </c>
      <c r="N1069">
        <v>632.4</v>
      </c>
      <c r="O1069" t="str">
        <f t="shared" si="16"/>
        <v>June</v>
      </c>
    </row>
    <row r="1070" spans="1:15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  <c r="O1070" t="str">
        <f t="shared" si="16"/>
        <v>August</v>
      </c>
    </row>
    <row r="1071" spans="1:15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4300</v>
      </c>
      <c r="M1071" t="s">
        <v>4281</v>
      </c>
      <c r="N1071">
        <v>454.23</v>
      </c>
      <c r="O1071" t="str">
        <f t="shared" si="16"/>
        <v>February</v>
      </c>
    </row>
    <row r="1072" spans="1:15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4300</v>
      </c>
      <c r="M1072" t="s">
        <v>4280</v>
      </c>
      <c r="N1072">
        <v>1965.16</v>
      </c>
      <c r="O1072" t="str">
        <f t="shared" si="16"/>
        <v>September</v>
      </c>
    </row>
    <row r="1073" spans="1:15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4300</v>
      </c>
      <c r="M1073" t="s">
        <v>4282</v>
      </c>
      <c r="N1073">
        <v>510.28</v>
      </c>
      <c r="O1073" t="str">
        <f t="shared" si="16"/>
        <v>June</v>
      </c>
    </row>
    <row r="1074" spans="1:15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  <c r="O1074" t="str">
        <f t="shared" si="16"/>
        <v>February</v>
      </c>
    </row>
    <row r="1075" spans="1:15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4300</v>
      </c>
      <c r="M1075" t="s">
        <v>4281</v>
      </c>
      <c r="N1075">
        <v>1448.24</v>
      </c>
      <c r="O1075" t="str">
        <f t="shared" si="16"/>
        <v>October</v>
      </c>
    </row>
    <row r="1076" spans="1:15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4300</v>
      </c>
      <c r="M1076" t="s">
        <v>4282</v>
      </c>
      <c r="N1076">
        <v>222.73</v>
      </c>
      <c r="O1076" t="str">
        <f t="shared" si="16"/>
        <v>May</v>
      </c>
    </row>
    <row r="1077" spans="1:15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  <c r="O1077" t="str">
        <f t="shared" si="16"/>
        <v>August</v>
      </c>
    </row>
    <row r="1078" spans="1:15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4300</v>
      </c>
      <c r="M1078" t="s">
        <v>4279</v>
      </c>
      <c r="N1078">
        <v>2746.44</v>
      </c>
      <c r="O1078" t="str">
        <f t="shared" si="16"/>
        <v>May</v>
      </c>
    </row>
    <row r="1079" spans="1:15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  <c r="O1079" t="str">
        <f t="shared" si="16"/>
        <v>March</v>
      </c>
    </row>
    <row r="1080" spans="1:15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  <c r="O1080" t="str">
        <f t="shared" si="16"/>
        <v>March</v>
      </c>
    </row>
    <row r="1081" spans="1:15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4300</v>
      </c>
      <c r="M1081" t="s">
        <v>4280</v>
      </c>
      <c r="N1081">
        <v>3170</v>
      </c>
      <c r="O1081" t="str">
        <f t="shared" si="16"/>
        <v>June</v>
      </c>
    </row>
    <row r="1082" spans="1:15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4300</v>
      </c>
      <c r="M1082" t="s">
        <v>4279</v>
      </c>
      <c r="N1082">
        <v>2323.6999999999998</v>
      </c>
      <c r="O1082" t="str">
        <f t="shared" si="16"/>
        <v>January</v>
      </c>
    </row>
    <row r="1083" spans="1:15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  <c r="O1083" t="str">
        <f t="shared" si="16"/>
        <v>April</v>
      </c>
    </row>
    <row r="1084" spans="1:15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  <c r="O1084" t="str">
        <f t="shared" si="16"/>
        <v>October</v>
      </c>
    </row>
    <row r="1085" spans="1:15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  <c r="O1085" t="str">
        <f t="shared" si="16"/>
        <v>July</v>
      </c>
    </row>
    <row r="1086" spans="1:15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  <c r="O1086" t="str">
        <f t="shared" si="16"/>
        <v>January</v>
      </c>
    </row>
    <row r="1087" spans="1:15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  <c r="O1087" t="str">
        <f t="shared" si="16"/>
        <v>May</v>
      </c>
    </row>
    <row r="1088" spans="1:15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  <c r="O1088" t="str">
        <f t="shared" si="16"/>
        <v>December</v>
      </c>
    </row>
    <row r="1089" spans="1:15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  <c r="O1089" t="str">
        <f t="shared" si="16"/>
        <v>March</v>
      </c>
    </row>
    <row r="1090" spans="1:15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  <c r="O1090" t="str">
        <f t="shared" si="16"/>
        <v>November</v>
      </c>
    </row>
    <row r="1091" spans="1:15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4300</v>
      </c>
      <c r="M1091" t="s">
        <v>4278</v>
      </c>
      <c r="N1091">
        <v>1199.48</v>
      </c>
      <c r="O1091" t="str">
        <f t="shared" ref="O1091:O1154" si="17">TEXT(B1091, "mmmm")</f>
        <v>March</v>
      </c>
    </row>
    <row r="1092" spans="1:15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4300</v>
      </c>
      <c r="M1092" t="s">
        <v>4278</v>
      </c>
      <c r="N1092">
        <v>1300.5</v>
      </c>
      <c r="O1092" t="str">
        <f t="shared" si="17"/>
        <v>February</v>
      </c>
    </row>
    <row r="1093" spans="1:15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4300</v>
      </c>
      <c r="M1093" t="s">
        <v>4280</v>
      </c>
      <c r="N1093">
        <v>628.43999999999994</v>
      </c>
      <c r="O1093" t="str">
        <f t="shared" si="17"/>
        <v>October</v>
      </c>
    </row>
    <row r="1094" spans="1:15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  <c r="O1094" t="str">
        <f t="shared" si="17"/>
        <v>August</v>
      </c>
    </row>
    <row r="1095" spans="1:15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  <c r="O1095" t="str">
        <f t="shared" si="17"/>
        <v>June</v>
      </c>
    </row>
    <row r="1096" spans="1:15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  <c r="O1096" t="str">
        <f t="shared" si="17"/>
        <v>June</v>
      </c>
    </row>
    <row r="1097" spans="1:15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  <c r="O1097" t="str">
        <f t="shared" si="17"/>
        <v>April</v>
      </c>
    </row>
    <row r="1098" spans="1:15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4300</v>
      </c>
      <c r="M1098" t="s">
        <v>4281</v>
      </c>
      <c r="N1098">
        <v>929.84</v>
      </c>
      <c r="O1098" t="str">
        <f t="shared" si="17"/>
        <v>May</v>
      </c>
    </row>
    <row r="1099" spans="1:15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  <c r="O1099" t="str">
        <f t="shared" si="17"/>
        <v>December</v>
      </c>
    </row>
    <row r="1100" spans="1:15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4300</v>
      </c>
      <c r="M1100" t="s">
        <v>4280</v>
      </c>
      <c r="N1100">
        <v>1023.44</v>
      </c>
      <c r="O1100" t="str">
        <f t="shared" si="17"/>
        <v>June</v>
      </c>
    </row>
    <row r="1101" spans="1:15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  <c r="O1101" t="str">
        <f t="shared" si="17"/>
        <v>September</v>
      </c>
    </row>
    <row r="1102" spans="1:15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  <c r="O1102" t="str">
        <f t="shared" si="17"/>
        <v>August</v>
      </c>
    </row>
    <row r="1103" spans="1:15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  <c r="O1103" t="str">
        <f t="shared" si="17"/>
        <v>June</v>
      </c>
    </row>
    <row r="1104" spans="1:15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4300</v>
      </c>
      <c r="M1104" t="s">
        <v>4278</v>
      </c>
      <c r="N1104">
        <v>1388.68</v>
      </c>
      <c r="O1104" t="str">
        <f t="shared" si="17"/>
        <v>June</v>
      </c>
    </row>
    <row r="1105" spans="1:15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4300</v>
      </c>
      <c r="M1105" t="s">
        <v>4282</v>
      </c>
      <c r="N1105">
        <v>1105.28</v>
      </c>
      <c r="O1105" t="str">
        <f t="shared" si="17"/>
        <v>April</v>
      </c>
    </row>
    <row r="1106" spans="1:15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4300</v>
      </c>
      <c r="M1106" t="s">
        <v>4278</v>
      </c>
      <c r="N1106">
        <v>1259.04</v>
      </c>
      <c r="O1106" t="str">
        <f t="shared" si="17"/>
        <v>July</v>
      </c>
    </row>
    <row r="1107" spans="1:15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  <c r="O1107" t="str">
        <f t="shared" si="17"/>
        <v>January</v>
      </c>
    </row>
    <row r="1108" spans="1:15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  <c r="O1108" t="str">
        <f t="shared" si="17"/>
        <v>March</v>
      </c>
    </row>
    <row r="1109" spans="1:15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  <c r="O1109" t="str">
        <f t="shared" si="17"/>
        <v>June</v>
      </c>
    </row>
    <row r="1110" spans="1:15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  <c r="O1110" t="str">
        <f t="shared" si="17"/>
        <v>March</v>
      </c>
    </row>
    <row r="1111" spans="1:15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  <c r="O1111" t="str">
        <f t="shared" si="17"/>
        <v>April</v>
      </c>
    </row>
    <row r="1112" spans="1:15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  <c r="O1112" t="str">
        <f t="shared" si="17"/>
        <v>February</v>
      </c>
    </row>
    <row r="1113" spans="1:15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  <c r="O1113" t="str">
        <f t="shared" si="17"/>
        <v>May</v>
      </c>
    </row>
    <row r="1114" spans="1:15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  <c r="O1114" t="str">
        <f t="shared" si="17"/>
        <v>October</v>
      </c>
    </row>
    <row r="1115" spans="1:15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4300</v>
      </c>
      <c r="M1115" t="s">
        <v>4282</v>
      </c>
      <c r="N1115">
        <v>839.96</v>
      </c>
      <c r="O1115" t="str">
        <f t="shared" si="17"/>
        <v>March</v>
      </c>
    </row>
    <row r="1116" spans="1:15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4300</v>
      </c>
      <c r="M1116" t="s">
        <v>4282</v>
      </c>
      <c r="N1116">
        <v>1979.64</v>
      </c>
      <c r="O1116" t="str">
        <f t="shared" si="17"/>
        <v>March</v>
      </c>
    </row>
    <row r="1117" spans="1:15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4300</v>
      </c>
      <c r="M1117" t="s">
        <v>4282</v>
      </c>
      <c r="N1117">
        <v>672.64</v>
      </c>
      <c r="O1117" t="str">
        <f t="shared" si="17"/>
        <v>June</v>
      </c>
    </row>
    <row r="1118" spans="1:15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  <c r="O1118" t="str">
        <f t="shared" si="17"/>
        <v>October</v>
      </c>
    </row>
    <row r="1119" spans="1:15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  <c r="O1119" t="str">
        <f t="shared" si="17"/>
        <v>May</v>
      </c>
    </row>
    <row r="1120" spans="1:15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4300</v>
      </c>
      <c r="M1120" t="s">
        <v>4280</v>
      </c>
      <c r="N1120">
        <v>754.43999999999994</v>
      </c>
      <c r="O1120" t="str">
        <f t="shared" si="17"/>
        <v>May</v>
      </c>
    </row>
    <row r="1121" spans="1:15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  <c r="O1121" t="str">
        <f t="shared" si="17"/>
        <v>November</v>
      </c>
    </row>
    <row r="1122" spans="1:15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4300</v>
      </c>
      <c r="M1122" t="s">
        <v>4281</v>
      </c>
      <c r="N1122">
        <v>195.86</v>
      </c>
      <c r="O1122" t="str">
        <f t="shared" si="17"/>
        <v>May</v>
      </c>
    </row>
    <row r="1123" spans="1:15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  <c r="O1123" t="str">
        <f t="shared" si="17"/>
        <v>May</v>
      </c>
    </row>
    <row r="1124" spans="1:15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4300</v>
      </c>
      <c r="M1124" t="s">
        <v>4281</v>
      </c>
      <c r="N1124">
        <v>3390.95</v>
      </c>
      <c r="O1124" t="str">
        <f t="shared" si="17"/>
        <v>June</v>
      </c>
    </row>
    <row r="1125" spans="1:15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  <c r="O1125" t="str">
        <f t="shared" si="17"/>
        <v>April</v>
      </c>
    </row>
    <row r="1126" spans="1:15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4300</v>
      </c>
      <c r="M1126" t="s">
        <v>4278</v>
      </c>
      <c r="N1126">
        <v>2307.48</v>
      </c>
      <c r="O1126" t="str">
        <f t="shared" si="17"/>
        <v>May</v>
      </c>
    </row>
    <row r="1127" spans="1:15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  <c r="O1127" t="str">
        <f t="shared" si="17"/>
        <v>October</v>
      </c>
    </row>
    <row r="1128" spans="1:15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  <c r="O1128" t="str">
        <f t="shared" si="17"/>
        <v>July</v>
      </c>
    </row>
    <row r="1129" spans="1:15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  <c r="O1129" t="str">
        <f t="shared" si="17"/>
        <v>March</v>
      </c>
    </row>
    <row r="1130" spans="1:15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  <c r="O1130" t="str">
        <f t="shared" si="17"/>
        <v>August</v>
      </c>
    </row>
    <row r="1131" spans="1:15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  <c r="O1131" t="str">
        <f t="shared" si="17"/>
        <v>June</v>
      </c>
    </row>
    <row r="1132" spans="1:15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  <c r="O1132" t="str">
        <f t="shared" si="17"/>
        <v>February</v>
      </c>
    </row>
    <row r="1133" spans="1:15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  <c r="O1133" t="str">
        <f t="shared" si="17"/>
        <v>July</v>
      </c>
    </row>
    <row r="1134" spans="1:15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  <c r="O1134" t="str">
        <f t="shared" si="17"/>
        <v>December</v>
      </c>
    </row>
    <row r="1135" spans="1:15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  <c r="O1135" t="str">
        <f t="shared" si="17"/>
        <v>April</v>
      </c>
    </row>
    <row r="1136" spans="1:15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  <c r="O1136" t="str">
        <f t="shared" si="17"/>
        <v>June</v>
      </c>
    </row>
    <row r="1137" spans="1:15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  <c r="O1137" t="str">
        <f t="shared" si="17"/>
        <v>December</v>
      </c>
    </row>
    <row r="1138" spans="1:15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  <c r="O1138" t="str">
        <f t="shared" si="17"/>
        <v>September</v>
      </c>
    </row>
    <row r="1139" spans="1:15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  <c r="O1139" t="str">
        <f t="shared" si="17"/>
        <v>July</v>
      </c>
    </row>
    <row r="1140" spans="1:15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4300</v>
      </c>
      <c r="M1140" t="s">
        <v>4278</v>
      </c>
      <c r="N1140">
        <v>1177.6400000000001</v>
      </c>
      <c r="O1140" t="str">
        <f t="shared" si="17"/>
        <v>December</v>
      </c>
    </row>
    <row r="1141" spans="1:15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  <c r="O1141" t="str">
        <f t="shared" si="17"/>
        <v>March</v>
      </c>
    </row>
    <row r="1142" spans="1:15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4300</v>
      </c>
      <c r="M1142" t="s">
        <v>4279</v>
      </c>
      <c r="N1142">
        <v>1105.6600000000001</v>
      </c>
      <c r="O1142" t="str">
        <f t="shared" si="17"/>
        <v>June</v>
      </c>
    </row>
    <row r="1143" spans="1:15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4300</v>
      </c>
      <c r="M1143" t="s">
        <v>4280</v>
      </c>
      <c r="N1143">
        <v>1495.98</v>
      </c>
      <c r="O1143" t="str">
        <f t="shared" si="17"/>
        <v>February</v>
      </c>
    </row>
    <row r="1144" spans="1:15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4300</v>
      </c>
      <c r="M1144" t="s">
        <v>4280</v>
      </c>
      <c r="N1144">
        <v>2780.4</v>
      </c>
      <c r="O1144" t="str">
        <f t="shared" si="17"/>
        <v>August</v>
      </c>
    </row>
    <row r="1145" spans="1:15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4300</v>
      </c>
      <c r="M1145" t="s">
        <v>4280</v>
      </c>
      <c r="N1145">
        <v>381.61</v>
      </c>
      <c r="O1145" t="str">
        <f t="shared" si="17"/>
        <v>April</v>
      </c>
    </row>
    <row r="1146" spans="1:15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4300</v>
      </c>
      <c r="M1146" t="s">
        <v>4281</v>
      </c>
      <c r="N1146">
        <v>2539.6999999999998</v>
      </c>
      <c r="O1146" t="str">
        <f t="shared" si="17"/>
        <v>February</v>
      </c>
    </row>
    <row r="1147" spans="1:15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  <c r="O1147" t="str">
        <f t="shared" si="17"/>
        <v>May</v>
      </c>
    </row>
    <row r="1148" spans="1:15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  <c r="O1148" t="str">
        <f t="shared" si="17"/>
        <v>October</v>
      </c>
    </row>
    <row r="1149" spans="1:15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  <c r="O1149" t="str">
        <f t="shared" si="17"/>
        <v>January</v>
      </c>
    </row>
    <row r="1150" spans="1:15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  <c r="O1150" t="str">
        <f t="shared" si="17"/>
        <v>June</v>
      </c>
    </row>
    <row r="1151" spans="1:15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  <c r="O1151" t="str">
        <f t="shared" si="17"/>
        <v>July</v>
      </c>
    </row>
    <row r="1152" spans="1:15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  <c r="O1152" t="str">
        <f t="shared" si="17"/>
        <v>February</v>
      </c>
    </row>
    <row r="1153" spans="1:15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4300</v>
      </c>
      <c r="M1153" t="s">
        <v>4282</v>
      </c>
      <c r="N1153">
        <v>1216.08</v>
      </c>
      <c r="O1153" t="str">
        <f t="shared" si="17"/>
        <v>January</v>
      </c>
    </row>
    <row r="1154" spans="1:15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4300</v>
      </c>
      <c r="M1154" t="s">
        <v>4279</v>
      </c>
      <c r="N1154">
        <v>688.36</v>
      </c>
      <c r="O1154" t="str">
        <f t="shared" si="17"/>
        <v>November</v>
      </c>
    </row>
    <row r="1155" spans="1:15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4300</v>
      </c>
      <c r="M1155" t="s">
        <v>4278</v>
      </c>
      <c r="N1155">
        <v>2786.84</v>
      </c>
      <c r="O1155" t="str">
        <f t="shared" ref="O1155:O1201" si="18">TEXT(B1155, "mmmm")</f>
        <v>December</v>
      </c>
    </row>
    <row r="1156" spans="1:15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  <c r="O1156" t="str">
        <f t="shared" si="18"/>
        <v>June</v>
      </c>
    </row>
    <row r="1157" spans="1:15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  <c r="O1157" t="str">
        <f t="shared" si="18"/>
        <v>August</v>
      </c>
    </row>
    <row r="1158" spans="1:15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4300</v>
      </c>
      <c r="M1158" t="s">
        <v>4279</v>
      </c>
      <c r="N1158">
        <v>2763.12</v>
      </c>
      <c r="O1158" t="str">
        <f t="shared" si="18"/>
        <v>July</v>
      </c>
    </row>
    <row r="1159" spans="1:15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  <c r="O1159" t="str">
        <f t="shared" si="18"/>
        <v>May</v>
      </c>
    </row>
    <row r="1160" spans="1:15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  <c r="O1160" t="str">
        <f t="shared" si="18"/>
        <v>April</v>
      </c>
    </row>
    <row r="1161" spans="1:15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4300</v>
      </c>
      <c r="M1161" t="s">
        <v>4278</v>
      </c>
      <c r="N1161">
        <v>1866.8</v>
      </c>
      <c r="O1161" t="str">
        <f t="shared" si="18"/>
        <v>February</v>
      </c>
    </row>
    <row r="1162" spans="1:15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  <c r="O1162" t="str">
        <f t="shared" si="18"/>
        <v>September</v>
      </c>
    </row>
    <row r="1163" spans="1:15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  <c r="O1163" t="str">
        <f t="shared" si="18"/>
        <v>October</v>
      </c>
    </row>
    <row r="1164" spans="1:15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  <c r="O1164" t="str">
        <f t="shared" si="18"/>
        <v>March</v>
      </c>
    </row>
    <row r="1165" spans="1:15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  <c r="O1165" t="str">
        <f t="shared" si="18"/>
        <v>June</v>
      </c>
    </row>
    <row r="1166" spans="1:15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  <c r="O1166" t="str">
        <f t="shared" si="18"/>
        <v>January</v>
      </c>
    </row>
    <row r="1167" spans="1:15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4300</v>
      </c>
      <c r="M1167" t="s">
        <v>4282</v>
      </c>
      <c r="N1167">
        <v>671.37</v>
      </c>
      <c r="O1167" t="str">
        <f t="shared" si="18"/>
        <v>July</v>
      </c>
    </row>
    <row r="1168" spans="1:15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  <c r="O1168" t="str">
        <f t="shared" si="18"/>
        <v>July</v>
      </c>
    </row>
    <row r="1169" spans="1:15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  <c r="O1169" t="str">
        <f t="shared" si="18"/>
        <v>October</v>
      </c>
    </row>
    <row r="1170" spans="1:15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  <c r="O1170" t="str">
        <f t="shared" si="18"/>
        <v>April</v>
      </c>
    </row>
    <row r="1171" spans="1:15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  <c r="O1171" t="str">
        <f t="shared" si="18"/>
        <v>December</v>
      </c>
    </row>
    <row r="1172" spans="1:15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  <c r="O1172" t="str">
        <f t="shared" si="18"/>
        <v>August</v>
      </c>
    </row>
    <row r="1173" spans="1:15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  <c r="O1173" t="str">
        <f t="shared" si="18"/>
        <v>August</v>
      </c>
    </row>
    <row r="1174" spans="1:15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4300</v>
      </c>
      <c r="M1174" t="s">
        <v>4278</v>
      </c>
      <c r="N1174">
        <v>395.88</v>
      </c>
      <c r="O1174" t="str">
        <f t="shared" si="18"/>
        <v>February</v>
      </c>
    </row>
    <row r="1175" spans="1:15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  <c r="O1175" t="str">
        <f t="shared" si="18"/>
        <v>October</v>
      </c>
    </row>
    <row r="1176" spans="1:15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  <c r="O1176" t="str">
        <f t="shared" si="18"/>
        <v>November</v>
      </c>
    </row>
    <row r="1177" spans="1:15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  <c r="O1177" t="str">
        <f t="shared" si="18"/>
        <v>September</v>
      </c>
    </row>
    <row r="1178" spans="1:15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  <c r="O1178" t="str">
        <f t="shared" si="18"/>
        <v>August</v>
      </c>
    </row>
    <row r="1179" spans="1:15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  <c r="O1179" t="str">
        <f t="shared" si="18"/>
        <v>April</v>
      </c>
    </row>
    <row r="1180" spans="1:15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  <c r="O1180" t="str">
        <f t="shared" si="18"/>
        <v>September</v>
      </c>
    </row>
    <row r="1181" spans="1:15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  <c r="O1181" t="str">
        <f t="shared" si="18"/>
        <v>January</v>
      </c>
    </row>
    <row r="1182" spans="1:15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  <c r="O1182" t="str">
        <f t="shared" si="18"/>
        <v>October</v>
      </c>
    </row>
    <row r="1183" spans="1:15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  <c r="O1183" t="str">
        <f t="shared" si="18"/>
        <v>July</v>
      </c>
    </row>
    <row r="1184" spans="1:15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  <c r="O1184" t="str">
        <f t="shared" si="18"/>
        <v>June</v>
      </c>
    </row>
    <row r="1185" spans="1:15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  <c r="O1185" t="str">
        <f t="shared" si="18"/>
        <v>April</v>
      </c>
    </row>
    <row r="1186" spans="1:15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4300</v>
      </c>
      <c r="M1186" t="s">
        <v>4282</v>
      </c>
      <c r="N1186">
        <v>204.08</v>
      </c>
      <c r="O1186" t="str">
        <f t="shared" si="18"/>
        <v>September</v>
      </c>
    </row>
    <row r="1187" spans="1:15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  <c r="O1187" t="str">
        <f t="shared" si="18"/>
        <v>July</v>
      </c>
    </row>
    <row r="1188" spans="1:15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  <c r="O1188" t="str">
        <f t="shared" si="18"/>
        <v>November</v>
      </c>
    </row>
    <row r="1189" spans="1:15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  <c r="O1189" t="str">
        <f t="shared" si="18"/>
        <v>March</v>
      </c>
    </row>
    <row r="1190" spans="1:15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  <c r="O1190" t="str">
        <f t="shared" si="18"/>
        <v>October</v>
      </c>
    </row>
    <row r="1191" spans="1:15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4300</v>
      </c>
      <c r="M1191" t="s">
        <v>4279</v>
      </c>
      <c r="N1191">
        <v>1946.1</v>
      </c>
      <c r="O1191" t="str">
        <f t="shared" si="18"/>
        <v>August</v>
      </c>
    </row>
    <row r="1192" spans="1:15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  <c r="O1192" t="str">
        <f t="shared" si="18"/>
        <v>June</v>
      </c>
    </row>
    <row r="1193" spans="1:15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  <c r="O1193" t="str">
        <f t="shared" si="18"/>
        <v>February</v>
      </c>
    </row>
    <row r="1194" spans="1:15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4300</v>
      </c>
      <c r="M1194" t="s">
        <v>4278</v>
      </c>
      <c r="N1194">
        <v>1298.55</v>
      </c>
      <c r="O1194" t="str">
        <f t="shared" si="18"/>
        <v>February</v>
      </c>
    </row>
    <row r="1195" spans="1:15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  <c r="O1195" t="str">
        <f t="shared" si="18"/>
        <v>June</v>
      </c>
    </row>
    <row r="1196" spans="1:15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  <c r="O1196" t="str">
        <f t="shared" si="18"/>
        <v>November</v>
      </c>
    </row>
    <row r="1197" spans="1:15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  <c r="O1197" t="str">
        <f t="shared" si="18"/>
        <v>June</v>
      </c>
    </row>
    <row r="1198" spans="1:15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4300</v>
      </c>
      <c r="M1198" t="s">
        <v>4281</v>
      </c>
      <c r="N1198">
        <v>1325.06</v>
      </c>
      <c r="O1198" t="str">
        <f t="shared" si="18"/>
        <v>March</v>
      </c>
    </row>
    <row r="1199" spans="1:15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  <c r="O1199" t="str">
        <f t="shared" si="18"/>
        <v>July</v>
      </c>
    </row>
    <row r="1200" spans="1:15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  <c r="O1200" t="str">
        <f t="shared" si="18"/>
        <v>August</v>
      </c>
    </row>
    <row r="1201" spans="1:15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  <c r="O1201" t="str">
        <f t="shared" si="18"/>
        <v>June</v>
      </c>
    </row>
  </sheetData>
  <phoneticPr fontId="3" type="noConversion"/>
  <pageMargins left="0.7" right="0.7" top="0.75" bottom="0.75" header="0.3" footer="0.3"/>
  <drawing r:id="rId6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60449D20-1A2B-42B6-A149-433C2B9DACE4}">
          <x14:colorSeries rgb="FF000000"/>
          <x14:colorNegative rgb="FF0070C0"/>
          <x14:colorAxis rgb="FF000000"/>
          <x14:colorMarkers rgb="FF0070C0"/>
          <x14:colorFirst rgb="FF0070C0"/>
          <x14:colorLast rgb="FF0070C0"/>
          <x14:colorHigh rgb="FF0070C0"/>
          <x14:colorLow rgb="FF0070C0"/>
          <x14:sparklines>
            <x14:sparkline>
              <xm:f>Sheet1!R42:R42</xm:f>
              <xm:sqref>T19</xm:sqref>
            </x14:sparkline>
          </x14:sparklines>
        </x14:sparklineGroup>
        <x14:sparklineGroup displayEmptyCellsAs="gap" xr2:uid="{5E15FA07-EFFD-4F9C-A256-CE3FBBCFF76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Sheet1!R42:R42</xm:f>
              <xm:sqref>U23</xm:sqref>
            </x14:sparkline>
            <x14:sparkline>
              <xm:f>Sheet1!S21:S21</xm:f>
              <xm:sqref>V23</xm:sqref>
            </x14:sparkline>
          </x14:sparklines>
        </x14:sparklineGroup>
        <x14:sparklineGroup displayEmptyCellsAs="gap" xr2:uid="{9BD2B628-625E-4FD4-86FE-2E7BB027DD1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Sheet1!R40:R40</xm:f>
              <xm:sqref>R36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F9D71-F118-47B6-97BB-3AC500FA91A2}">
  <dimension ref="P1:Y1201"/>
  <sheetViews>
    <sheetView tabSelected="1" topLeftCell="G1" zoomScale="74" zoomScaleNormal="74" workbookViewId="0">
      <selection activeCell="C21" sqref="C21"/>
    </sheetView>
  </sheetViews>
  <sheetFormatPr defaultRowHeight="14.5" x14ac:dyDescent="0.35"/>
  <cols>
    <col min="16" max="16" width="8.1796875" bestFit="1" customWidth="1"/>
    <col min="17" max="17" width="8.453125" bestFit="1" customWidth="1"/>
    <col min="18" max="18" width="10.7265625" bestFit="1" customWidth="1"/>
    <col min="19" max="19" width="9.1796875" bestFit="1" customWidth="1"/>
    <col min="21" max="21" width="10.54296875" bestFit="1" customWidth="1"/>
    <col min="22" max="23" width="11.81640625" bestFit="1" customWidth="1"/>
    <col min="24" max="24" width="11.08984375" bestFit="1" customWidth="1"/>
    <col min="25" max="25" width="9.6328125" bestFit="1" customWidth="1"/>
  </cols>
  <sheetData>
    <row r="1" spans="16:25" x14ac:dyDescent="0.35">
      <c r="P1" s="1" t="s">
        <v>4</v>
      </c>
      <c r="Q1" s="1" t="s">
        <v>5</v>
      </c>
      <c r="R1" s="1" t="s">
        <v>10</v>
      </c>
      <c r="S1" s="1" t="s">
        <v>13</v>
      </c>
      <c r="U1" s="7"/>
      <c r="V1" s="7" t="s">
        <v>4</v>
      </c>
      <c r="W1" s="7" t="s">
        <v>5</v>
      </c>
      <c r="X1" s="7" t="s">
        <v>10</v>
      </c>
      <c r="Y1" s="7" t="s">
        <v>13</v>
      </c>
    </row>
    <row r="2" spans="16:25" x14ac:dyDescent="0.35">
      <c r="P2">
        <v>5</v>
      </c>
      <c r="Q2">
        <v>570.62</v>
      </c>
      <c r="R2">
        <v>7</v>
      </c>
      <c r="S2">
        <v>2853.1</v>
      </c>
      <c r="U2" t="s">
        <v>4</v>
      </c>
      <c r="V2">
        <v>1</v>
      </c>
    </row>
    <row r="3" spans="16:25" x14ac:dyDescent="0.35">
      <c r="P3">
        <v>2</v>
      </c>
      <c r="Q3">
        <v>151.35</v>
      </c>
      <c r="R3">
        <v>3</v>
      </c>
      <c r="S3">
        <v>302.7</v>
      </c>
      <c r="U3" t="s">
        <v>5</v>
      </c>
      <c r="V3">
        <v>1.4553341185454998E-2</v>
      </c>
      <c r="W3">
        <v>1</v>
      </c>
    </row>
    <row r="4" spans="16:25" x14ac:dyDescent="0.35">
      <c r="P4">
        <v>5</v>
      </c>
      <c r="Q4">
        <v>550.67999999999995</v>
      </c>
      <c r="R4">
        <v>8</v>
      </c>
      <c r="S4">
        <v>2753.4</v>
      </c>
      <c r="U4" t="s">
        <v>10</v>
      </c>
      <c r="V4">
        <v>0.65006122572385383</v>
      </c>
      <c r="W4">
        <v>6.0215368110683881E-4</v>
      </c>
      <c r="X4">
        <v>1</v>
      </c>
    </row>
    <row r="5" spans="16:25" ht="15" thickBot="1" x14ac:dyDescent="0.4">
      <c r="P5">
        <v>1</v>
      </c>
      <c r="Q5">
        <v>273.19</v>
      </c>
      <c r="R5">
        <v>5</v>
      </c>
      <c r="S5">
        <v>273.19</v>
      </c>
      <c r="U5" s="6" t="s">
        <v>13</v>
      </c>
      <c r="V5" s="6">
        <v>0.61525136334670683</v>
      </c>
      <c r="W5" s="6">
        <v>0.717081089263781</v>
      </c>
      <c r="X5" s="6">
        <v>0.39254026040686657</v>
      </c>
      <c r="Y5" s="6">
        <v>1</v>
      </c>
    </row>
    <row r="6" spans="16:25" x14ac:dyDescent="0.35">
      <c r="P6">
        <v>4</v>
      </c>
      <c r="Q6">
        <v>626.01</v>
      </c>
      <c r="R6">
        <v>8</v>
      </c>
      <c r="S6">
        <v>2504.04</v>
      </c>
    </row>
    <row r="7" spans="16:25" x14ac:dyDescent="0.35">
      <c r="P7">
        <v>2</v>
      </c>
      <c r="Q7">
        <v>245.86</v>
      </c>
      <c r="R7">
        <v>4</v>
      </c>
      <c r="S7">
        <v>491.72</v>
      </c>
    </row>
    <row r="8" spans="16:25" x14ac:dyDescent="0.35">
      <c r="P8">
        <v>1</v>
      </c>
      <c r="Q8">
        <v>664.42</v>
      </c>
      <c r="R8">
        <v>6</v>
      </c>
      <c r="S8">
        <v>664.42</v>
      </c>
    </row>
    <row r="9" spans="16:25" x14ac:dyDescent="0.35">
      <c r="P9">
        <v>5</v>
      </c>
      <c r="Q9">
        <v>149.55000000000001</v>
      </c>
      <c r="R9">
        <v>9</v>
      </c>
      <c r="S9">
        <v>747.75</v>
      </c>
    </row>
    <row r="10" spans="16:25" x14ac:dyDescent="0.35">
      <c r="P10">
        <v>2</v>
      </c>
      <c r="Q10">
        <v>134.28</v>
      </c>
      <c r="R10">
        <v>2</v>
      </c>
      <c r="S10">
        <v>268.56</v>
      </c>
    </row>
    <row r="11" spans="16:25" x14ac:dyDescent="0.35">
      <c r="P11">
        <v>4</v>
      </c>
      <c r="Q11">
        <v>509.38</v>
      </c>
      <c r="R11">
        <v>6</v>
      </c>
      <c r="S11">
        <v>2037.52</v>
      </c>
    </row>
    <row r="12" spans="16:25" x14ac:dyDescent="0.35">
      <c r="P12">
        <v>5</v>
      </c>
      <c r="Q12">
        <v>625.97</v>
      </c>
      <c r="R12">
        <v>9</v>
      </c>
      <c r="S12">
        <v>3129.85</v>
      </c>
    </row>
    <row r="13" spans="16:25" x14ac:dyDescent="0.35">
      <c r="P13">
        <v>3</v>
      </c>
      <c r="Q13">
        <v>49.14</v>
      </c>
      <c r="R13">
        <v>7</v>
      </c>
      <c r="S13">
        <v>147.41999999999999</v>
      </c>
    </row>
    <row r="14" spans="16:25" x14ac:dyDescent="0.35">
      <c r="P14">
        <v>2</v>
      </c>
      <c r="Q14">
        <v>180.5</v>
      </c>
      <c r="R14">
        <v>6</v>
      </c>
      <c r="S14">
        <v>361</v>
      </c>
    </row>
    <row r="15" spans="16:25" x14ac:dyDescent="0.35">
      <c r="P15">
        <v>3</v>
      </c>
      <c r="Q15">
        <v>201.49</v>
      </c>
      <c r="R15">
        <v>4</v>
      </c>
      <c r="S15">
        <v>604.47</v>
      </c>
    </row>
    <row r="16" spans="16:25" x14ac:dyDescent="0.35">
      <c r="P16">
        <v>2</v>
      </c>
      <c r="Q16">
        <v>393.33</v>
      </c>
      <c r="R16">
        <v>3</v>
      </c>
      <c r="S16">
        <v>786.66</v>
      </c>
    </row>
    <row r="17" spans="16:19" x14ac:dyDescent="0.35">
      <c r="P17">
        <v>1</v>
      </c>
      <c r="Q17">
        <v>473.96</v>
      </c>
      <c r="R17">
        <v>3</v>
      </c>
      <c r="S17">
        <v>473.96</v>
      </c>
    </row>
    <row r="18" spans="16:19" x14ac:dyDescent="0.35">
      <c r="P18">
        <v>2</v>
      </c>
      <c r="Q18">
        <v>533.80999999999995</v>
      </c>
      <c r="R18">
        <v>3</v>
      </c>
      <c r="S18">
        <v>1067.6199999999999</v>
      </c>
    </row>
    <row r="19" spans="16:19" x14ac:dyDescent="0.35">
      <c r="P19">
        <v>1</v>
      </c>
      <c r="Q19">
        <v>423.4</v>
      </c>
      <c r="R19">
        <v>3</v>
      </c>
      <c r="S19">
        <v>423.4</v>
      </c>
    </row>
    <row r="20" spans="16:19" x14ac:dyDescent="0.35">
      <c r="P20">
        <v>1</v>
      </c>
      <c r="Q20">
        <v>431.44</v>
      </c>
      <c r="R20">
        <v>3</v>
      </c>
      <c r="S20">
        <v>431.44</v>
      </c>
    </row>
    <row r="21" spans="16:19" x14ac:dyDescent="0.35">
      <c r="P21">
        <v>5</v>
      </c>
      <c r="Q21">
        <v>224</v>
      </c>
      <c r="R21">
        <v>9</v>
      </c>
      <c r="S21">
        <v>1120</v>
      </c>
    </row>
    <row r="22" spans="16:19" x14ac:dyDescent="0.35">
      <c r="P22">
        <v>5</v>
      </c>
      <c r="Q22">
        <v>62.51</v>
      </c>
      <c r="R22">
        <v>9</v>
      </c>
      <c r="S22">
        <v>312.55</v>
      </c>
    </row>
    <row r="23" spans="16:19" x14ac:dyDescent="0.35">
      <c r="P23">
        <v>4</v>
      </c>
      <c r="Q23">
        <v>342.95</v>
      </c>
      <c r="R23">
        <v>6</v>
      </c>
      <c r="S23">
        <v>1371.8</v>
      </c>
    </row>
    <row r="24" spans="16:19" x14ac:dyDescent="0.35">
      <c r="P24">
        <v>2</v>
      </c>
      <c r="Q24">
        <v>49.62</v>
      </c>
      <c r="R24">
        <v>2</v>
      </c>
      <c r="S24">
        <v>99.24</v>
      </c>
    </row>
    <row r="25" spans="16:19" x14ac:dyDescent="0.35">
      <c r="P25">
        <v>4</v>
      </c>
      <c r="Q25">
        <v>273.25</v>
      </c>
      <c r="R25">
        <v>5</v>
      </c>
      <c r="S25">
        <v>1093</v>
      </c>
    </row>
    <row r="26" spans="16:19" x14ac:dyDescent="0.35">
      <c r="P26">
        <v>2</v>
      </c>
      <c r="Q26">
        <v>230.95</v>
      </c>
      <c r="R26">
        <v>3</v>
      </c>
      <c r="S26">
        <v>461.9</v>
      </c>
    </row>
    <row r="27" spans="16:19" x14ac:dyDescent="0.35">
      <c r="P27">
        <v>1</v>
      </c>
      <c r="Q27">
        <v>399.98</v>
      </c>
      <c r="R27">
        <v>3</v>
      </c>
      <c r="S27">
        <v>399.98</v>
      </c>
    </row>
    <row r="28" spans="16:19" x14ac:dyDescent="0.35">
      <c r="P28">
        <v>5</v>
      </c>
      <c r="Q28">
        <v>59.55</v>
      </c>
      <c r="R28">
        <v>6</v>
      </c>
      <c r="S28">
        <v>297.75</v>
      </c>
    </row>
    <row r="29" spans="16:19" x14ac:dyDescent="0.35">
      <c r="P29">
        <v>1</v>
      </c>
      <c r="Q29">
        <v>472.74</v>
      </c>
      <c r="R29">
        <v>6</v>
      </c>
      <c r="S29">
        <v>472.74</v>
      </c>
    </row>
    <row r="30" spans="16:19" x14ac:dyDescent="0.35">
      <c r="P30">
        <v>4</v>
      </c>
      <c r="Q30">
        <v>160.07</v>
      </c>
      <c r="R30">
        <v>5</v>
      </c>
      <c r="S30">
        <v>640.28</v>
      </c>
    </row>
    <row r="31" spans="16:19" x14ac:dyDescent="0.35">
      <c r="P31">
        <v>3</v>
      </c>
      <c r="Q31">
        <v>423.53</v>
      </c>
      <c r="R31">
        <v>6</v>
      </c>
      <c r="S31">
        <v>1270.5899999999999</v>
      </c>
    </row>
    <row r="32" spans="16:19" x14ac:dyDescent="0.35">
      <c r="P32">
        <v>2</v>
      </c>
      <c r="Q32">
        <v>426.7</v>
      </c>
      <c r="R32">
        <v>5</v>
      </c>
      <c r="S32">
        <v>853.4</v>
      </c>
    </row>
    <row r="33" spans="16:19" x14ac:dyDescent="0.35">
      <c r="P33">
        <v>3</v>
      </c>
      <c r="Q33">
        <v>500.08</v>
      </c>
      <c r="R33">
        <v>6</v>
      </c>
      <c r="S33">
        <v>1500.24</v>
      </c>
    </row>
    <row r="34" spans="16:19" x14ac:dyDescent="0.35">
      <c r="P34">
        <v>5</v>
      </c>
      <c r="Q34">
        <v>536.72</v>
      </c>
      <c r="R34">
        <v>10</v>
      </c>
      <c r="S34">
        <v>2683.6</v>
      </c>
    </row>
    <row r="35" spans="16:19" x14ac:dyDescent="0.35">
      <c r="P35">
        <v>1</v>
      </c>
      <c r="Q35">
        <v>162.77000000000001</v>
      </c>
      <c r="R35">
        <v>4</v>
      </c>
      <c r="S35">
        <v>162.77000000000001</v>
      </c>
    </row>
    <row r="36" spans="16:19" x14ac:dyDescent="0.35">
      <c r="P36">
        <v>4</v>
      </c>
      <c r="Q36">
        <v>576.52</v>
      </c>
      <c r="R36">
        <v>5</v>
      </c>
      <c r="S36">
        <v>2306.08</v>
      </c>
    </row>
    <row r="37" spans="16:19" x14ac:dyDescent="0.35">
      <c r="P37">
        <v>2</v>
      </c>
      <c r="Q37">
        <v>465.15</v>
      </c>
      <c r="R37">
        <v>2</v>
      </c>
      <c r="S37">
        <v>930.3</v>
      </c>
    </row>
    <row r="38" spans="16:19" x14ac:dyDescent="0.35">
      <c r="P38">
        <v>2</v>
      </c>
      <c r="Q38">
        <v>534.42999999999995</v>
      </c>
      <c r="R38">
        <v>5</v>
      </c>
      <c r="S38">
        <v>1068.8599999999999</v>
      </c>
    </row>
    <row r="39" spans="16:19" x14ac:dyDescent="0.35">
      <c r="P39">
        <v>2</v>
      </c>
      <c r="Q39">
        <v>76.739999999999995</v>
      </c>
      <c r="R39">
        <v>7</v>
      </c>
      <c r="S39">
        <v>153.47999999999999</v>
      </c>
    </row>
    <row r="40" spans="16:19" x14ac:dyDescent="0.35">
      <c r="P40">
        <v>1</v>
      </c>
      <c r="Q40">
        <v>245.89</v>
      </c>
      <c r="R40">
        <v>3</v>
      </c>
      <c r="S40">
        <v>245.89</v>
      </c>
    </row>
    <row r="41" spans="16:19" x14ac:dyDescent="0.35">
      <c r="P41">
        <v>3</v>
      </c>
      <c r="Q41">
        <v>256.45999999999998</v>
      </c>
      <c r="R41">
        <v>4</v>
      </c>
      <c r="S41">
        <v>769.37999999999988</v>
      </c>
    </row>
    <row r="42" spans="16:19" x14ac:dyDescent="0.35">
      <c r="P42">
        <v>2</v>
      </c>
      <c r="Q42">
        <v>344.02</v>
      </c>
      <c r="R42">
        <v>4</v>
      </c>
      <c r="S42">
        <v>688.04</v>
      </c>
    </row>
    <row r="43" spans="16:19" x14ac:dyDescent="0.35">
      <c r="P43">
        <v>3</v>
      </c>
      <c r="Q43">
        <v>611.45000000000005</v>
      </c>
      <c r="R43">
        <v>4</v>
      </c>
      <c r="S43">
        <v>1834.35</v>
      </c>
    </row>
    <row r="44" spans="16:19" x14ac:dyDescent="0.35">
      <c r="P44">
        <v>2</v>
      </c>
      <c r="Q44">
        <v>151.66</v>
      </c>
      <c r="R44">
        <v>6</v>
      </c>
      <c r="S44">
        <v>303.32</v>
      </c>
    </row>
    <row r="45" spans="16:19" x14ac:dyDescent="0.35">
      <c r="P45">
        <v>3</v>
      </c>
      <c r="Q45">
        <v>499.21</v>
      </c>
      <c r="R45">
        <v>8</v>
      </c>
      <c r="S45">
        <v>1497.63</v>
      </c>
    </row>
    <row r="46" spans="16:19" x14ac:dyDescent="0.35">
      <c r="P46">
        <v>2</v>
      </c>
      <c r="Q46">
        <v>550.17999999999995</v>
      </c>
      <c r="R46">
        <v>3</v>
      </c>
      <c r="S46">
        <v>1100.3599999999999</v>
      </c>
    </row>
    <row r="47" spans="16:19" x14ac:dyDescent="0.35">
      <c r="P47">
        <v>1</v>
      </c>
      <c r="Q47">
        <v>317.25</v>
      </c>
      <c r="R47">
        <v>1</v>
      </c>
      <c r="S47">
        <v>317.25</v>
      </c>
    </row>
    <row r="48" spans="16:19" x14ac:dyDescent="0.35">
      <c r="P48">
        <v>4</v>
      </c>
      <c r="Q48">
        <v>550.14</v>
      </c>
      <c r="R48">
        <v>4</v>
      </c>
      <c r="S48">
        <v>2200.56</v>
      </c>
    </row>
    <row r="49" spans="16:19" x14ac:dyDescent="0.35">
      <c r="P49">
        <v>2</v>
      </c>
      <c r="Q49">
        <v>209.94</v>
      </c>
      <c r="R49">
        <v>3</v>
      </c>
      <c r="S49">
        <v>419.88</v>
      </c>
    </row>
    <row r="50" spans="16:19" x14ac:dyDescent="0.35">
      <c r="P50">
        <v>2</v>
      </c>
      <c r="Q50">
        <v>80.77</v>
      </c>
      <c r="R50">
        <v>4</v>
      </c>
      <c r="S50">
        <v>161.54</v>
      </c>
    </row>
    <row r="51" spans="16:19" x14ac:dyDescent="0.35">
      <c r="P51">
        <v>1</v>
      </c>
      <c r="Q51">
        <v>30.44</v>
      </c>
      <c r="R51">
        <v>1</v>
      </c>
      <c r="S51">
        <v>30.44</v>
      </c>
    </row>
    <row r="52" spans="16:19" x14ac:dyDescent="0.35">
      <c r="P52">
        <v>1</v>
      </c>
      <c r="Q52">
        <v>179.22</v>
      </c>
      <c r="R52">
        <v>6</v>
      </c>
      <c r="S52">
        <v>179.22</v>
      </c>
    </row>
    <row r="53" spans="16:19" x14ac:dyDescent="0.35">
      <c r="P53">
        <v>1</v>
      </c>
      <c r="Q53">
        <v>388.33</v>
      </c>
      <c r="R53">
        <v>2</v>
      </c>
      <c r="S53">
        <v>388.33</v>
      </c>
    </row>
    <row r="54" spans="16:19" x14ac:dyDescent="0.35">
      <c r="P54">
        <v>1</v>
      </c>
      <c r="Q54">
        <v>586.44000000000005</v>
      </c>
      <c r="R54">
        <v>5</v>
      </c>
      <c r="S54">
        <v>586.44000000000005</v>
      </c>
    </row>
    <row r="55" spans="16:19" x14ac:dyDescent="0.35">
      <c r="P55">
        <v>4</v>
      </c>
      <c r="Q55">
        <v>488.78</v>
      </c>
      <c r="R55">
        <v>5</v>
      </c>
      <c r="S55">
        <v>1955.12</v>
      </c>
    </row>
    <row r="56" spans="16:19" x14ac:dyDescent="0.35">
      <c r="P56">
        <v>1</v>
      </c>
      <c r="Q56">
        <v>280.25</v>
      </c>
      <c r="R56">
        <v>5</v>
      </c>
      <c r="S56">
        <v>280.25</v>
      </c>
    </row>
    <row r="57" spans="16:19" x14ac:dyDescent="0.35">
      <c r="P57">
        <v>3</v>
      </c>
      <c r="Q57">
        <v>344.4</v>
      </c>
      <c r="R57">
        <v>3</v>
      </c>
      <c r="S57">
        <v>1033.2</v>
      </c>
    </row>
    <row r="58" spans="16:19" x14ac:dyDescent="0.35">
      <c r="P58">
        <v>3</v>
      </c>
      <c r="Q58">
        <v>479.21</v>
      </c>
      <c r="R58">
        <v>5</v>
      </c>
      <c r="S58">
        <v>1437.63</v>
      </c>
    </row>
    <row r="59" spans="16:19" x14ac:dyDescent="0.35">
      <c r="P59">
        <v>5</v>
      </c>
      <c r="Q59">
        <v>314.27</v>
      </c>
      <c r="R59">
        <v>6</v>
      </c>
      <c r="S59">
        <v>1571.35</v>
      </c>
    </row>
    <row r="60" spans="16:19" x14ac:dyDescent="0.35">
      <c r="P60">
        <v>4</v>
      </c>
      <c r="Q60">
        <v>474.69</v>
      </c>
      <c r="R60">
        <v>6</v>
      </c>
      <c r="S60">
        <v>1898.76</v>
      </c>
    </row>
    <row r="61" spans="16:19" x14ac:dyDescent="0.35">
      <c r="P61">
        <v>4</v>
      </c>
      <c r="Q61">
        <v>593.27</v>
      </c>
      <c r="R61">
        <v>5</v>
      </c>
      <c r="S61">
        <v>2373.08</v>
      </c>
    </row>
    <row r="62" spans="16:19" x14ac:dyDescent="0.35">
      <c r="P62">
        <v>1</v>
      </c>
      <c r="Q62">
        <v>417.1</v>
      </c>
      <c r="R62">
        <v>3</v>
      </c>
      <c r="S62">
        <v>417.1</v>
      </c>
    </row>
    <row r="63" spans="16:19" x14ac:dyDescent="0.35">
      <c r="P63">
        <v>4</v>
      </c>
      <c r="Q63">
        <v>122.2</v>
      </c>
      <c r="R63">
        <v>7</v>
      </c>
      <c r="S63">
        <v>488.8</v>
      </c>
    </row>
    <row r="64" spans="16:19" x14ac:dyDescent="0.35">
      <c r="P64">
        <v>2</v>
      </c>
      <c r="Q64">
        <v>43.15</v>
      </c>
      <c r="R64">
        <v>3</v>
      </c>
      <c r="S64">
        <v>86.3</v>
      </c>
    </row>
    <row r="65" spans="16:19" x14ac:dyDescent="0.35">
      <c r="P65">
        <v>1</v>
      </c>
      <c r="Q65">
        <v>564.86</v>
      </c>
      <c r="R65">
        <v>6</v>
      </c>
      <c r="S65">
        <v>564.86</v>
      </c>
    </row>
    <row r="66" spans="16:19" x14ac:dyDescent="0.35">
      <c r="P66">
        <v>3</v>
      </c>
      <c r="Q66">
        <v>130.61000000000001</v>
      </c>
      <c r="R66">
        <v>4</v>
      </c>
      <c r="S66">
        <v>391.83</v>
      </c>
    </row>
    <row r="67" spans="16:19" x14ac:dyDescent="0.35">
      <c r="P67">
        <v>5</v>
      </c>
      <c r="Q67">
        <v>81.7</v>
      </c>
      <c r="R67">
        <v>6</v>
      </c>
      <c r="S67">
        <v>408.5</v>
      </c>
    </row>
    <row r="68" spans="16:19" x14ac:dyDescent="0.35">
      <c r="P68">
        <v>5</v>
      </c>
      <c r="Q68">
        <v>127.18</v>
      </c>
      <c r="R68">
        <v>9</v>
      </c>
      <c r="S68">
        <v>635.90000000000009</v>
      </c>
    </row>
    <row r="69" spans="16:19" x14ac:dyDescent="0.35">
      <c r="P69">
        <v>4</v>
      </c>
      <c r="Q69">
        <v>12.1</v>
      </c>
      <c r="R69">
        <v>8</v>
      </c>
      <c r="S69">
        <v>48.4</v>
      </c>
    </row>
    <row r="70" spans="16:19" x14ac:dyDescent="0.35">
      <c r="P70">
        <v>3</v>
      </c>
      <c r="Q70">
        <v>490.92</v>
      </c>
      <c r="R70">
        <v>5</v>
      </c>
      <c r="S70">
        <v>1472.76</v>
      </c>
    </row>
    <row r="71" spans="16:19" x14ac:dyDescent="0.35">
      <c r="P71">
        <v>3</v>
      </c>
      <c r="Q71">
        <v>478.65</v>
      </c>
      <c r="R71">
        <v>4</v>
      </c>
      <c r="S71">
        <v>1435.95</v>
      </c>
    </row>
    <row r="72" spans="16:19" x14ac:dyDescent="0.35">
      <c r="P72">
        <v>1</v>
      </c>
      <c r="Q72">
        <v>629.21</v>
      </c>
      <c r="R72">
        <v>2</v>
      </c>
      <c r="S72">
        <v>629.21</v>
      </c>
    </row>
    <row r="73" spans="16:19" x14ac:dyDescent="0.35">
      <c r="P73">
        <v>3</v>
      </c>
      <c r="Q73">
        <v>434.45</v>
      </c>
      <c r="R73">
        <v>4</v>
      </c>
      <c r="S73">
        <v>1303.3499999999999</v>
      </c>
    </row>
    <row r="74" spans="16:19" x14ac:dyDescent="0.35">
      <c r="P74">
        <v>4</v>
      </c>
      <c r="Q74">
        <v>589.44000000000005</v>
      </c>
      <c r="R74">
        <v>5</v>
      </c>
      <c r="S74">
        <v>2357.7600000000002</v>
      </c>
    </row>
    <row r="75" spans="16:19" x14ac:dyDescent="0.35">
      <c r="P75">
        <v>4</v>
      </c>
      <c r="Q75">
        <v>433.45</v>
      </c>
      <c r="R75">
        <v>4</v>
      </c>
      <c r="S75">
        <v>1733.8</v>
      </c>
    </row>
    <row r="76" spans="16:19" x14ac:dyDescent="0.35">
      <c r="P76">
        <v>5</v>
      </c>
      <c r="Q76">
        <v>90.87</v>
      </c>
      <c r="R76">
        <v>5</v>
      </c>
      <c r="S76">
        <v>454.35</v>
      </c>
    </row>
    <row r="77" spans="16:19" x14ac:dyDescent="0.35">
      <c r="P77">
        <v>3</v>
      </c>
      <c r="Q77">
        <v>398.17</v>
      </c>
      <c r="R77">
        <v>5</v>
      </c>
      <c r="S77">
        <v>1194.51</v>
      </c>
    </row>
    <row r="78" spans="16:19" x14ac:dyDescent="0.35">
      <c r="P78">
        <v>4</v>
      </c>
      <c r="Q78">
        <v>382.88</v>
      </c>
      <c r="R78">
        <v>6</v>
      </c>
      <c r="S78">
        <v>1531.52</v>
      </c>
    </row>
    <row r="79" spans="16:19" x14ac:dyDescent="0.35">
      <c r="P79">
        <v>1</v>
      </c>
      <c r="Q79">
        <v>583.17999999999995</v>
      </c>
      <c r="R79">
        <v>5</v>
      </c>
      <c r="S79">
        <v>583.17999999999995</v>
      </c>
    </row>
    <row r="80" spans="16:19" x14ac:dyDescent="0.35">
      <c r="P80">
        <v>4</v>
      </c>
      <c r="Q80">
        <v>175.36</v>
      </c>
      <c r="R80">
        <v>4</v>
      </c>
      <c r="S80">
        <v>701.44</v>
      </c>
    </row>
    <row r="81" spans="16:19" x14ac:dyDescent="0.35">
      <c r="P81">
        <v>2</v>
      </c>
      <c r="Q81">
        <v>311.91000000000003</v>
      </c>
      <c r="R81">
        <v>2</v>
      </c>
      <c r="S81">
        <v>623.82000000000005</v>
      </c>
    </row>
    <row r="82" spans="16:19" x14ac:dyDescent="0.35">
      <c r="P82">
        <v>3</v>
      </c>
      <c r="Q82">
        <v>589.55999999999995</v>
      </c>
      <c r="R82">
        <v>6</v>
      </c>
      <c r="S82">
        <v>1768.68</v>
      </c>
    </row>
    <row r="83" spans="16:19" x14ac:dyDescent="0.35">
      <c r="P83">
        <v>2</v>
      </c>
      <c r="Q83">
        <v>394.3</v>
      </c>
      <c r="R83">
        <v>6</v>
      </c>
      <c r="S83">
        <v>788.6</v>
      </c>
    </row>
    <row r="84" spans="16:19" x14ac:dyDescent="0.35">
      <c r="P84">
        <v>4</v>
      </c>
      <c r="Q84">
        <v>565.20000000000005</v>
      </c>
      <c r="R84">
        <v>9</v>
      </c>
      <c r="S84">
        <v>2260.8000000000002</v>
      </c>
    </row>
    <row r="85" spans="16:19" x14ac:dyDescent="0.35">
      <c r="P85">
        <v>4</v>
      </c>
      <c r="Q85">
        <v>540.41</v>
      </c>
      <c r="R85">
        <v>6</v>
      </c>
      <c r="S85">
        <v>2161.64</v>
      </c>
    </row>
    <row r="86" spans="16:19" x14ac:dyDescent="0.35">
      <c r="P86">
        <v>2</v>
      </c>
      <c r="Q86">
        <v>165.49</v>
      </c>
      <c r="R86">
        <v>4</v>
      </c>
      <c r="S86">
        <v>330.98</v>
      </c>
    </row>
    <row r="87" spans="16:19" x14ac:dyDescent="0.35">
      <c r="P87">
        <v>3</v>
      </c>
      <c r="Q87">
        <v>146.72999999999999</v>
      </c>
      <c r="R87">
        <v>8</v>
      </c>
      <c r="S87">
        <v>440.18999999999988</v>
      </c>
    </row>
    <row r="88" spans="16:19" x14ac:dyDescent="0.35">
      <c r="P88">
        <v>5</v>
      </c>
      <c r="Q88">
        <v>643.03</v>
      </c>
      <c r="R88">
        <v>5</v>
      </c>
      <c r="S88">
        <v>3215.15</v>
      </c>
    </row>
    <row r="89" spans="16:19" x14ac:dyDescent="0.35">
      <c r="P89">
        <v>3</v>
      </c>
      <c r="Q89">
        <v>225.11</v>
      </c>
      <c r="R89">
        <v>4</v>
      </c>
      <c r="S89">
        <v>675.33</v>
      </c>
    </row>
    <row r="90" spans="16:19" x14ac:dyDescent="0.35">
      <c r="P90">
        <v>3</v>
      </c>
      <c r="Q90">
        <v>114.81</v>
      </c>
      <c r="R90">
        <v>7</v>
      </c>
      <c r="S90">
        <v>344.43</v>
      </c>
    </row>
    <row r="91" spans="16:19" x14ac:dyDescent="0.35">
      <c r="P91">
        <v>5</v>
      </c>
      <c r="Q91">
        <v>455.33</v>
      </c>
      <c r="R91">
        <v>8</v>
      </c>
      <c r="S91">
        <v>2276.65</v>
      </c>
    </row>
    <row r="92" spans="16:19" x14ac:dyDescent="0.35">
      <c r="P92">
        <v>4</v>
      </c>
      <c r="Q92">
        <v>182.08</v>
      </c>
      <c r="R92">
        <v>4</v>
      </c>
      <c r="S92">
        <v>728.32</v>
      </c>
    </row>
    <row r="93" spans="16:19" x14ac:dyDescent="0.35">
      <c r="P93">
        <v>5</v>
      </c>
      <c r="Q93">
        <v>492.75</v>
      </c>
      <c r="R93">
        <v>6</v>
      </c>
      <c r="S93">
        <v>2463.75</v>
      </c>
    </row>
    <row r="94" spans="16:19" x14ac:dyDescent="0.35">
      <c r="P94">
        <v>4</v>
      </c>
      <c r="Q94">
        <v>48.61</v>
      </c>
      <c r="R94">
        <v>7</v>
      </c>
      <c r="S94">
        <v>194.44</v>
      </c>
    </row>
    <row r="95" spans="16:19" x14ac:dyDescent="0.35">
      <c r="P95">
        <v>4</v>
      </c>
      <c r="Q95">
        <v>431.01</v>
      </c>
      <c r="R95">
        <v>7</v>
      </c>
      <c r="S95">
        <v>1724.04</v>
      </c>
    </row>
    <row r="96" spans="16:19" x14ac:dyDescent="0.35">
      <c r="P96">
        <v>1</v>
      </c>
      <c r="Q96">
        <v>531.17999999999995</v>
      </c>
      <c r="R96">
        <v>6</v>
      </c>
      <c r="S96">
        <v>531.17999999999995</v>
      </c>
    </row>
    <row r="97" spans="16:19" x14ac:dyDescent="0.35">
      <c r="P97">
        <v>4</v>
      </c>
      <c r="Q97">
        <v>117.51</v>
      </c>
      <c r="R97">
        <v>7</v>
      </c>
      <c r="S97">
        <v>470.04</v>
      </c>
    </row>
    <row r="98" spans="16:19" x14ac:dyDescent="0.35">
      <c r="P98">
        <v>2</v>
      </c>
      <c r="Q98">
        <v>232.83</v>
      </c>
      <c r="R98">
        <v>7</v>
      </c>
      <c r="S98">
        <v>465.66</v>
      </c>
    </row>
    <row r="99" spans="16:19" x14ac:dyDescent="0.35">
      <c r="P99">
        <v>5</v>
      </c>
      <c r="Q99">
        <v>619.52</v>
      </c>
      <c r="R99">
        <v>9</v>
      </c>
      <c r="S99">
        <v>3097.6</v>
      </c>
    </row>
    <row r="100" spans="16:19" x14ac:dyDescent="0.35">
      <c r="P100">
        <v>2</v>
      </c>
      <c r="Q100">
        <v>228.54</v>
      </c>
      <c r="R100">
        <v>3</v>
      </c>
      <c r="S100">
        <v>457.08</v>
      </c>
    </row>
    <row r="101" spans="16:19" x14ac:dyDescent="0.35">
      <c r="P101">
        <v>1</v>
      </c>
      <c r="Q101">
        <v>201.58</v>
      </c>
      <c r="R101">
        <v>2</v>
      </c>
      <c r="S101">
        <v>201.58</v>
      </c>
    </row>
    <row r="102" spans="16:19" x14ac:dyDescent="0.35">
      <c r="P102">
        <v>3</v>
      </c>
      <c r="Q102">
        <v>664.79</v>
      </c>
      <c r="R102">
        <v>6</v>
      </c>
      <c r="S102">
        <v>1994.37</v>
      </c>
    </row>
    <row r="103" spans="16:19" x14ac:dyDescent="0.35">
      <c r="P103">
        <v>1</v>
      </c>
      <c r="Q103">
        <v>381.02</v>
      </c>
      <c r="R103">
        <v>6</v>
      </c>
      <c r="S103">
        <v>381.02</v>
      </c>
    </row>
    <row r="104" spans="16:19" x14ac:dyDescent="0.35">
      <c r="P104">
        <v>2</v>
      </c>
      <c r="Q104">
        <v>70.34</v>
      </c>
      <c r="R104">
        <v>3</v>
      </c>
      <c r="S104">
        <v>140.68</v>
      </c>
    </row>
    <row r="105" spans="16:19" x14ac:dyDescent="0.35">
      <c r="P105">
        <v>4</v>
      </c>
      <c r="Q105">
        <v>218.43</v>
      </c>
      <c r="R105">
        <v>9</v>
      </c>
      <c r="S105">
        <v>873.72</v>
      </c>
    </row>
    <row r="106" spans="16:19" x14ac:dyDescent="0.35">
      <c r="P106">
        <v>1</v>
      </c>
      <c r="Q106">
        <v>582.04</v>
      </c>
      <c r="R106">
        <v>1</v>
      </c>
      <c r="S106">
        <v>582.04</v>
      </c>
    </row>
    <row r="107" spans="16:19" x14ac:dyDescent="0.35">
      <c r="P107">
        <v>3</v>
      </c>
      <c r="Q107">
        <v>185.4</v>
      </c>
      <c r="R107">
        <v>7</v>
      </c>
      <c r="S107">
        <v>556.20000000000005</v>
      </c>
    </row>
    <row r="108" spans="16:19" x14ac:dyDescent="0.35">
      <c r="P108">
        <v>3</v>
      </c>
      <c r="Q108">
        <v>465.05</v>
      </c>
      <c r="R108">
        <v>3</v>
      </c>
      <c r="S108">
        <v>1395.15</v>
      </c>
    </row>
    <row r="109" spans="16:19" x14ac:dyDescent="0.35">
      <c r="P109">
        <v>5</v>
      </c>
      <c r="Q109">
        <v>670.75</v>
      </c>
      <c r="R109">
        <v>8</v>
      </c>
      <c r="S109">
        <v>3353.75</v>
      </c>
    </row>
    <row r="110" spans="16:19" x14ac:dyDescent="0.35">
      <c r="P110">
        <v>5</v>
      </c>
      <c r="Q110">
        <v>48.38</v>
      </c>
      <c r="R110">
        <v>9</v>
      </c>
      <c r="S110">
        <v>241.9</v>
      </c>
    </row>
    <row r="111" spans="16:19" x14ac:dyDescent="0.35">
      <c r="P111">
        <v>3</v>
      </c>
      <c r="Q111">
        <v>592.87</v>
      </c>
      <c r="R111">
        <v>3</v>
      </c>
      <c r="S111">
        <v>1778.61</v>
      </c>
    </row>
    <row r="112" spans="16:19" x14ac:dyDescent="0.35">
      <c r="P112">
        <v>1</v>
      </c>
      <c r="Q112">
        <v>220.77</v>
      </c>
      <c r="R112">
        <v>5</v>
      </c>
      <c r="S112">
        <v>220.77</v>
      </c>
    </row>
    <row r="113" spans="16:19" x14ac:dyDescent="0.35">
      <c r="P113">
        <v>3</v>
      </c>
      <c r="Q113">
        <v>309.22000000000003</v>
      </c>
      <c r="R113">
        <v>7</v>
      </c>
      <c r="S113">
        <v>927.66000000000008</v>
      </c>
    </row>
    <row r="114" spans="16:19" x14ac:dyDescent="0.35">
      <c r="P114">
        <v>1</v>
      </c>
      <c r="Q114">
        <v>410.6</v>
      </c>
      <c r="R114">
        <v>2</v>
      </c>
      <c r="S114">
        <v>410.6</v>
      </c>
    </row>
    <row r="115" spans="16:19" x14ac:dyDescent="0.35">
      <c r="P115">
        <v>5</v>
      </c>
      <c r="Q115">
        <v>190.08</v>
      </c>
      <c r="R115">
        <v>9</v>
      </c>
      <c r="S115">
        <v>950.40000000000009</v>
      </c>
    </row>
    <row r="116" spans="16:19" x14ac:dyDescent="0.35">
      <c r="P116">
        <v>5</v>
      </c>
      <c r="Q116">
        <v>498.48</v>
      </c>
      <c r="R116">
        <v>8</v>
      </c>
      <c r="S116">
        <v>2492.4</v>
      </c>
    </row>
    <row r="117" spans="16:19" x14ac:dyDescent="0.35">
      <c r="P117">
        <v>5</v>
      </c>
      <c r="Q117">
        <v>374.99</v>
      </c>
      <c r="R117">
        <v>9</v>
      </c>
      <c r="S117">
        <v>1874.95</v>
      </c>
    </row>
    <row r="118" spans="16:19" x14ac:dyDescent="0.35">
      <c r="P118">
        <v>4</v>
      </c>
      <c r="Q118">
        <v>291.35000000000002</v>
      </c>
      <c r="R118">
        <v>6</v>
      </c>
      <c r="S118">
        <v>1165.4000000000001</v>
      </c>
    </row>
    <row r="119" spans="16:19" x14ac:dyDescent="0.35">
      <c r="P119">
        <v>1</v>
      </c>
      <c r="Q119">
        <v>535.5</v>
      </c>
      <c r="R119">
        <v>5</v>
      </c>
      <c r="S119">
        <v>535.5</v>
      </c>
    </row>
    <row r="120" spans="16:19" x14ac:dyDescent="0.35">
      <c r="P120">
        <v>5</v>
      </c>
      <c r="Q120">
        <v>502.71</v>
      </c>
      <c r="R120">
        <v>7</v>
      </c>
      <c r="S120">
        <v>2513.5500000000002</v>
      </c>
    </row>
    <row r="121" spans="16:19" x14ac:dyDescent="0.35">
      <c r="P121">
        <v>2</v>
      </c>
      <c r="Q121">
        <v>534.66999999999996</v>
      </c>
      <c r="R121">
        <v>7</v>
      </c>
      <c r="S121">
        <v>1069.3399999999999</v>
      </c>
    </row>
    <row r="122" spans="16:19" x14ac:dyDescent="0.35">
      <c r="P122">
        <v>4</v>
      </c>
      <c r="Q122">
        <v>629.34</v>
      </c>
      <c r="R122">
        <v>4</v>
      </c>
      <c r="S122">
        <v>2517.36</v>
      </c>
    </row>
    <row r="123" spans="16:19" x14ac:dyDescent="0.35">
      <c r="P123">
        <v>1</v>
      </c>
      <c r="Q123">
        <v>410.78</v>
      </c>
      <c r="R123">
        <v>1</v>
      </c>
      <c r="S123">
        <v>410.78</v>
      </c>
    </row>
    <row r="124" spans="16:19" x14ac:dyDescent="0.35">
      <c r="P124">
        <v>2</v>
      </c>
      <c r="Q124">
        <v>533.02</v>
      </c>
      <c r="R124">
        <v>2</v>
      </c>
      <c r="S124">
        <v>1066.04</v>
      </c>
    </row>
    <row r="125" spans="16:19" x14ac:dyDescent="0.35">
      <c r="P125">
        <v>3</v>
      </c>
      <c r="Q125">
        <v>278.04000000000002</v>
      </c>
      <c r="R125">
        <v>5</v>
      </c>
      <c r="S125">
        <v>834.12000000000012</v>
      </c>
    </row>
    <row r="126" spans="16:19" x14ac:dyDescent="0.35">
      <c r="P126">
        <v>4</v>
      </c>
      <c r="Q126">
        <v>283.79000000000002</v>
      </c>
      <c r="R126">
        <v>8</v>
      </c>
      <c r="S126">
        <v>1135.1600000000001</v>
      </c>
    </row>
    <row r="127" spans="16:19" x14ac:dyDescent="0.35">
      <c r="P127">
        <v>2</v>
      </c>
      <c r="Q127">
        <v>512.65</v>
      </c>
      <c r="R127">
        <v>5</v>
      </c>
      <c r="S127">
        <v>1025.3</v>
      </c>
    </row>
    <row r="128" spans="16:19" x14ac:dyDescent="0.35">
      <c r="P128">
        <v>4</v>
      </c>
      <c r="Q128">
        <v>275.5</v>
      </c>
      <c r="R128">
        <v>8</v>
      </c>
      <c r="S128">
        <v>1102</v>
      </c>
    </row>
    <row r="129" spans="16:19" x14ac:dyDescent="0.35">
      <c r="P129">
        <v>3</v>
      </c>
      <c r="Q129">
        <v>469.32</v>
      </c>
      <c r="R129">
        <v>3</v>
      </c>
      <c r="S129">
        <v>1407.96</v>
      </c>
    </row>
    <row r="130" spans="16:19" x14ac:dyDescent="0.35">
      <c r="P130">
        <v>4</v>
      </c>
      <c r="Q130">
        <v>21.07</v>
      </c>
      <c r="R130">
        <v>4</v>
      </c>
      <c r="S130">
        <v>84.28</v>
      </c>
    </row>
    <row r="131" spans="16:19" x14ac:dyDescent="0.35">
      <c r="P131">
        <v>4</v>
      </c>
      <c r="Q131">
        <v>263.93</v>
      </c>
      <c r="R131">
        <v>4</v>
      </c>
      <c r="S131">
        <v>1055.72</v>
      </c>
    </row>
    <row r="132" spans="16:19" x14ac:dyDescent="0.35">
      <c r="P132">
        <v>3</v>
      </c>
      <c r="Q132">
        <v>501.3</v>
      </c>
      <c r="R132">
        <v>3</v>
      </c>
      <c r="S132">
        <v>1503.9</v>
      </c>
    </row>
    <row r="133" spans="16:19" x14ac:dyDescent="0.35">
      <c r="P133">
        <v>1</v>
      </c>
      <c r="Q133">
        <v>84.8</v>
      </c>
      <c r="R133">
        <v>5</v>
      </c>
      <c r="S133">
        <v>84.8</v>
      </c>
    </row>
    <row r="134" spans="16:19" x14ac:dyDescent="0.35">
      <c r="P134">
        <v>4</v>
      </c>
      <c r="Q134">
        <v>450.75</v>
      </c>
      <c r="R134">
        <v>6</v>
      </c>
      <c r="S134">
        <v>1803</v>
      </c>
    </row>
    <row r="135" spans="16:19" x14ac:dyDescent="0.35">
      <c r="P135">
        <v>4</v>
      </c>
      <c r="Q135">
        <v>302.05</v>
      </c>
      <c r="R135">
        <v>6</v>
      </c>
      <c r="S135">
        <v>1208.2</v>
      </c>
    </row>
    <row r="136" spans="16:19" x14ac:dyDescent="0.35">
      <c r="P136">
        <v>2</v>
      </c>
      <c r="Q136">
        <v>199.7</v>
      </c>
      <c r="R136">
        <v>4</v>
      </c>
      <c r="S136">
        <v>399.4</v>
      </c>
    </row>
    <row r="137" spans="16:19" x14ac:dyDescent="0.35">
      <c r="P137">
        <v>2</v>
      </c>
      <c r="Q137">
        <v>68.81</v>
      </c>
      <c r="R137">
        <v>5</v>
      </c>
      <c r="S137">
        <v>137.62</v>
      </c>
    </row>
    <row r="138" spans="16:19" x14ac:dyDescent="0.35">
      <c r="P138">
        <v>1</v>
      </c>
      <c r="Q138">
        <v>44.35</v>
      </c>
      <c r="R138">
        <v>1</v>
      </c>
      <c r="S138">
        <v>44.35</v>
      </c>
    </row>
    <row r="139" spans="16:19" x14ac:dyDescent="0.35">
      <c r="P139">
        <v>2</v>
      </c>
      <c r="Q139">
        <v>250.98</v>
      </c>
      <c r="R139">
        <v>5</v>
      </c>
      <c r="S139">
        <v>501.96</v>
      </c>
    </row>
    <row r="140" spans="16:19" x14ac:dyDescent="0.35">
      <c r="P140">
        <v>1</v>
      </c>
      <c r="Q140">
        <v>298.06</v>
      </c>
      <c r="R140">
        <v>3</v>
      </c>
      <c r="S140">
        <v>298.06</v>
      </c>
    </row>
    <row r="141" spans="16:19" x14ac:dyDescent="0.35">
      <c r="P141">
        <v>1</v>
      </c>
      <c r="Q141">
        <v>583.9</v>
      </c>
      <c r="R141">
        <v>1</v>
      </c>
      <c r="S141">
        <v>583.9</v>
      </c>
    </row>
    <row r="142" spans="16:19" x14ac:dyDescent="0.35">
      <c r="P142">
        <v>3</v>
      </c>
      <c r="Q142">
        <v>528.14</v>
      </c>
      <c r="R142">
        <v>3</v>
      </c>
      <c r="S142">
        <v>1584.42</v>
      </c>
    </row>
    <row r="143" spans="16:19" x14ac:dyDescent="0.35">
      <c r="P143">
        <v>3</v>
      </c>
      <c r="Q143">
        <v>684.14</v>
      </c>
      <c r="R143">
        <v>3</v>
      </c>
      <c r="S143">
        <v>2052.42</v>
      </c>
    </row>
    <row r="144" spans="16:19" x14ac:dyDescent="0.35">
      <c r="P144">
        <v>5</v>
      </c>
      <c r="Q144">
        <v>272.77</v>
      </c>
      <c r="R144">
        <v>7</v>
      </c>
      <c r="S144">
        <v>1363.85</v>
      </c>
    </row>
    <row r="145" spans="16:19" x14ac:dyDescent="0.35">
      <c r="P145">
        <v>4</v>
      </c>
      <c r="Q145">
        <v>400.07</v>
      </c>
      <c r="R145">
        <v>5</v>
      </c>
      <c r="S145">
        <v>1600.28</v>
      </c>
    </row>
    <row r="146" spans="16:19" x14ac:dyDescent="0.35">
      <c r="P146">
        <v>5</v>
      </c>
      <c r="Q146">
        <v>219.78</v>
      </c>
      <c r="R146">
        <v>8</v>
      </c>
      <c r="S146">
        <v>1098.9000000000001</v>
      </c>
    </row>
    <row r="147" spans="16:19" x14ac:dyDescent="0.35">
      <c r="P147">
        <v>3</v>
      </c>
      <c r="Q147">
        <v>146.91</v>
      </c>
      <c r="R147">
        <v>6</v>
      </c>
      <c r="S147">
        <v>440.73</v>
      </c>
    </row>
    <row r="148" spans="16:19" x14ac:dyDescent="0.35">
      <c r="P148">
        <v>2</v>
      </c>
      <c r="Q148">
        <v>411.49</v>
      </c>
      <c r="R148">
        <v>4</v>
      </c>
      <c r="S148">
        <v>822.98</v>
      </c>
    </row>
    <row r="149" spans="16:19" x14ac:dyDescent="0.35">
      <c r="P149">
        <v>2</v>
      </c>
      <c r="Q149">
        <v>465.18</v>
      </c>
      <c r="R149">
        <v>2</v>
      </c>
      <c r="S149">
        <v>930.36</v>
      </c>
    </row>
    <row r="150" spans="16:19" x14ac:dyDescent="0.35">
      <c r="P150">
        <v>2</v>
      </c>
      <c r="Q150">
        <v>319.91000000000003</v>
      </c>
      <c r="R150">
        <v>3</v>
      </c>
      <c r="S150">
        <v>639.82000000000005</v>
      </c>
    </row>
    <row r="151" spans="16:19" x14ac:dyDescent="0.35">
      <c r="P151">
        <v>1</v>
      </c>
      <c r="Q151">
        <v>217.56</v>
      </c>
      <c r="R151">
        <v>3</v>
      </c>
      <c r="S151">
        <v>217.56</v>
      </c>
    </row>
    <row r="152" spans="16:19" x14ac:dyDescent="0.35">
      <c r="P152">
        <v>2</v>
      </c>
      <c r="Q152">
        <v>105.57</v>
      </c>
      <c r="R152">
        <v>5</v>
      </c>
      <c r="S152">
        <v>211.14</v>
      </c>
    </row>
    <row r="153" spans="16:19" x14ac:dyDescent="0.35">
      <c r="P153">
        <v>5</v>
      </c>
      <c r="Q153">
        <v>444.76</v>
      </c>
      <c r="R153">
        <v>7</v>
      </c>
      <c r="S153">
        <v>2223.8000000000002</v>
      </c>
    </row>
    <row r="154" spans="16:19" x14ac:dyDescent="0.35">
      <c r="P154">
        <v>2</v>
      </c>
      <c r="Q154">
        <v>399.04</v>
      </c>
      <c r="R154">
        <v>3</v>
      </c>
      <c r="S154">
        <v>798.08</v>
      </c>
    </row>
    <row r="155" spans="16:19" x14ac:dyDescent="0.35">
      <c r="P155">
        <v>4</v>
      </c>
      <c r="Q155">
        <v>534.48</v>
      </c>
      <c r="R155">
        <v>9</v>
      </c>
      <c r="S155">
        <v>2137.92</v>
      </c>
    </row>
    <row r="156" spans="16:19" x14ac:dyDescent="0.35">
      <c r="P156">
        <v>4</v>
      </c>
      <c r="Q156">
        <v>408.21</v>
      </c>
      <c r="R156">
        <v>9</v>
      </c>
      <c r="S156">
        <v>1632.84</v>
      </c>
    </row>
    <row r="157" spans="16:19" x14ac:dyDescent="0.35">
      <c r="P157">
        <v>1</v>
      </c>
      <c r="Q157">
        <v>424.4</v>
      </c>
      <c r="R157">
        <v>6</v>
      </c>
      <c r="S157">
        <v>424.4</v>
      </c>
    </row>
    <row r="158" spans="16:19" x14ac:dyDescent="0.35">
      <c r="P158">
        <v>2</v>
      </c>
      <c r="Q158">
        <v>269.83</v>
      </c>
      <c r="R158">
        <v>4</v>
      </c>
      <c r="S158">
        <v>539.66</v>
      </c>
    </row>
    <row r="159" spans="16:19" x14ac:dyDescent="0.35">
      <c r="P159">
        <v>2</v>
      </c>
      <c r="Q159">
        <v>564.58000000000004</v>
      </c>
      <c r="R159">
        <v>4</v>
      </c>
      <c r="S159">
        <v>1129.1600000000001</v>
      </c>
    </row>
    <row r="160" spans="16:19" x14ac:dyDescent="0.35">
      <c r="P160">
        <v>1</v>
      </c>
      <c r="Q160">
        <v>331.06</v>
      </c>
      <c r="R160">
        <v>5</v>
      </c>
      <c r="S160">
        <v>331.06</v>
      </c>
    </row>
    <row r="161" spans="16:19" x14ac:dyDescent="0.35">
      <c r="P161">
        <v>1</v>
      </c>
      <c r="Q161">
        <v>299.35000000000002</v>
      </c>
      <c r="R161">
        <v>5</v>
      </c>
      <c r="S161">
        <v>299.35000000000002</v>
      </c>
    </row>
    <row r="162" spans="16:19" x14ac:dyDescent="0.35">
      <c r="P162">
        <v>4</v>
      </c>
      <c r="Q162">
        <v>101.32</v>
      </c>
      <c r="R162">
        <v>7</v>
      </c>
      <c r="S162">
        <v>405.28</v>
      </c>
    </row>
    <row r="163" spans="16:19" x14ac:dyDescent="0.35">
      <c r="P163">
        <v>1</v>
      </c>
      <c r="Q163">
        <v>211.14</v>
      </c>
      <c r="R163">
        <v>1</v>
      </c>
      <c r="S163">
        <v>211.14</v>
      </c>
    </row>
    <row r="164" spans="16:19" x14ac:dyDescent="0.35">
      <c r="P164">
        <v>3</v>
      </c>
      <c r="Q164">
        <v>65.86</v>
      </c>
      <c r="R164">
        <v>8</v>
      </c>
      <c r="S164">
        <v>197.58</v>
      </c>
    </row>
    <row r="165" spans="16:19" x14ac:dyDescent="0.35">
      <c r="P165">
        <v>1</v>
      </c>
      <c r="Q165">
        <v>641.39</v>
      </c>
      <c r="R165">
        <v>1</v>
      </c>
      <c r="S165">
        <v>641.39</v>
      </c>
    </row>
    <row r="166" spans="16:19" x14ac:dyDescent="0.35">
      <c r="P166">
        <v>5</v>
      </c>
      <c r="Q166">
        <v>536.58000000000004</v>
      </c>
      <c r="R166">
        <v>5</v>
      </c>
      <c r="S166">
        <v>2682.9</v>
      </c>
    </row>
    <row r="167" spans="16:19" x14ac:dyDescent="0.35">
      <c r="P167">
        <v>2</v>
      </c>
      <c r="Q167">
        <v>500.29</v>
      </c>
      <c r="R167">
        <v>7</v>
      </c>
      <c r="S167">
        <v>1000.58</v>
      </c>
    </row>
    <row r="168" spans="16:19" x14ac:dyDescent="0.35">
      <c r="P168">
        <v>3</v>
      </c>
      <c r="Q168">
        <v>86.29</v>
      </c>
      <c r="R168">
        <v>6</v>
      </c>
      <c r="S168">
        <v>258.87</v>
      </c>
    </row>
    <row r="169" spans="16:19" x14ac:dyDescent="0.35">
      <c r="P169">
        <v>2</v>
      </c>
      <c r="Q169">
        <v>384.14</v>
      </c>
      <c r="R169">
        <v>2</v>
      </c>
      <c r="S169">
        <v>768.28</v>
      </c>
    </row>
    <row r="170" spans="16:19" x14ac:dyDescent="0.35">
      <c r="P170">
        <v>1</v>
      </c>
      <c r="Q170">
        <v>594.96</v>
      </c>
      <c r="R170">
        <v>6</v>
      </c>
      <c r="S170">
        <v>594.96</v>
      </c>
    </row>
    <row r="171" spans="16:19" x14ac:dyDescent="0.35">
      <c r="P171">
        <v>1</v>
      </c>
      <c r="Q171">
        <v>427.82</v>
      </c>
      <c r="R171">
        <v>2</v>
      </c>
      <c r="S171">
        <v>427.82</v>
      </c>
    </row>
    <row r="172" spans="16:19" x14ac:dyDescent="0.35">
      <c r="P172">
        <v>4</v>
      </c>
      <c r="Q172">
        <v>662.94</v>
      </c>
      <c r="R172">
        <v>8</v>
      </c>
      <c r="S172">
        <v>2651.76</v>
      </c>
    </row>
    <row r="173" spans="16:19" x14ac:dyDescent="0.35">
      <c r="P173">
        <v>2</v>
      </c>
      <c r="Q173">
        <v>148.22</v>
      </c>
      <c r="R173">
        <v>7</v>
      </c>
      <c r="S173">
        <v>296.44</v>
      </c>
    </row>
    <row r="174" spans="16:19" x14ac:dyDescent="0.35">
      <c r="P174">
        <v>1</v>
      </c>
      <c r="Q174">
        <v>254.12</v>
      </c>
      <c r="R174">
        <v>1</v>
      </c>
      <c r="S174">
        <v>254.12</v>
      </c>
    </row>
    <row r="175" spans="16:19" x14ac:dyDescent="0.35">
      <c r="P175">
        <v>3</v>
      </c>
      <c r="Q175">
        <v>664.46</v>
      </c>
      <c r="R175">
        <v>4</v>
      </c>
      <c r="S175">
        <v>1993.38</v>
      </c>
    </row>
    <row r="176" spans="16:19" x14ac:dyDescent="0.35">
      <c r="P176">
        <v>4</v>
      </c>
      <c r="Q176">
        <v>600.80999999999995</v>
      </c>
      <c r="R176">
        <v>9</v>
      </c>
      <c r="S176">
        <v>2403.2399999999998</v>
      </c>
    </row>
    <row r="177" spans="16:19" x14ac:dyDescent="0.35">
      <c r="P177">
        <v>5</v>
      </c>
      <c r="Q177">
        <v>68.34</v>
      </c>
      <c r="R177">
        <v>6</v>
      </c>
      <c r="S177">
        <v>341.7</v>
      </c>
    </row>
    <row r="178" spans="16:19" x14ac:dyDescent="0.35">
      <c r="P178">
        <v>4</v>
      </c>
      <c r="Q178">
        <v>430.83</v>
      </c>
      <c r="R178">
        <v>8</v>
      </c>
      <c r="S178">
        <v>1723.32</v>
      </c>
    </row>
    <row r="179" spans="16:19" x14ac:dyDescent="0.35">
      <c r="P179">
        <v>5</v>
      </c>
      <c r="Q179">
        <v>431.69</v>
      </c>
      <c r="R179">
        <v>10</v>
      </c>
      <c r="S179">
        <v>2158.4499999999998</v>
      </c>
    </row>
    <row r="180" spans="16:19" x14ac:dyDescent="0.35">
      <c r="P180">
        <v>4</v>
      </c>
      <c r="Q180">
        <v>512.05999999999995</v>
      </c>
      <c r="R180">
        <v>5</v>
      </c>
      <c r="S180">
        <v>2048.2399999999998</v>
      </c>
    </row>
    <row r="181" spans="16:19" x14ac:dyDescent="0.35">
      <c r="P181">
        <v>3</v>
      </c>
      <c r="Q181">
        <v>539.91</v>
      </c>
      <c r="R181">
        <v>8</v>
      </c>
      <c r="S181">
        <v>1619.73</v>
      </c>
    </row>
    <row r="182" spans="16:19" x14ac:dyDescent="0.35">
      <c r="P182">
        <v>5</v>
      </c>
      <c r="Q182">
        <v>316.07</v>
      </c>
      <c r="R182">
        <v>10</v>
      </c>
      <c r="S182">
        <v>1580.35</v>
      </c>
    </row>
    <row r="183" spans="16:19" x14ac:dyDescent="0.35">
      <c r="P183">
        <v>5</v>
      </c>
      <c r="Q183">
        <v>404.39</v>
      </c>
      <c r="R183">
        <v>10</v>
      </c>
      <c r="S183">
        <v>2021.95</v>
      </c>
    </row>
    <row r="184" spans="16:19" x14ac:dyDescent="0.35">
      <c r="P184">
        <v>1</v>
      </c>
      <c r="Q184">
        <v>600.54</v>
      </c>
      <c r="R184">
        <v>4</v>
      </c>
      <c r="S184">
        <v>600.54</v>
      </c>
    </row>
    <row r="185" spans="16:19" x14ac:dyDescent="0.35">
      <c r="P185">
        <v>5</v>
      </c>
      <c r="Q185">
        <v>186.28</v>
      </c>
      <c r="R185">
        <v>8</v>
      </c>
      <c r="S185">
        <v>931.4</v>
      </c>
    </row>
    <row r="186" spans="16:19" x14ac:dyDescent="0.35">
      <c r="P186">
        <v>4</v>
      </c>
      <c r="Q186">
        <v>214.54</v>
      </c>
      <c r="R186">
        <v>7</v>
      </c>
      <c r="S186">
        <v>858.16</v>
      </c>
    </row>
    <row r="187" spans="16:19" x14ac:dyDescent="0.35">
      <c r="P187">
        <v>1</v>
      </c>
      <c r="Q187">
        <v>210.7</v>
      </c>
      <c r="R187">
        <v>2</v>
      </c>
      <c r="S187">
        <v>210.7</v>
      </c>
    </row>
    <row r="188" spans="16:19" x14ac:dyDescent="0.35">
      <c r="P188">
        <v>2</v>
      </c>
      <c r="Q188">
        <v>133.55000000000001</v>
      </c>
      <c r="R188">
        <v>7</v>
      </c>
      <c r="S188">
        <v>267.10000000000002</v>
      </c>
    </row>
    <row r="189" spans="16:19" x14ac:dyDescent="0.35">
      <c r="P189">
        <v>1</v>
      </c>
      <c r="Q189">
        <v>590.87</v>
      </c>
      <c r="R189">
        <v>6</v>
      </c>
      <c r="S189">
        <v>590.87</v>
      </c>
    </row>
    <row r="190" spans="16:19" x14ac:dyDescent="0.35">
      <c r="P190">
        <v>2</v>
      </c>
      <c r="Q190">
        <v>363.91</v>
      </c>
      <c r="R190">
        <v>2</v>
      </c>
      <c r="S190">
        <v>727.82</v>
      </c>
    </row>
    <row r="191" spans="16:19" x14ac:dyDescent="0.35">
      <c r="P191">
        <v>5</v>
      </c>
      <c r="Q191">
        <v>429.45</v>
      </c>
      <c r="R191">
        <v>5</v>
      </c>
      <c r="S191">
        <v>2147.25</v>
      </c>
    </row>
    <row r="192" spans="16:19" x14ac:dyDescent="0.35">
      <c r="P192">
        <v>3</v>
      </c>
      <c r="Q192">
        <v>223.7</v>
      </c>
      <c r="R192">
        <v>3</v>
      </c>
      <c r="S192">
        <v>671.09999999999991</v>
      </c>
    </row>
    <row r="193" spans="16:19" x14ac:dyDescent="0.35">
      <c r="P193">
        <v>2</v>
      </c>
      <c r="Q193">
        <v>488.87</v>
      </c>
      <c r="R193">
        <v>4</v>
      </c>
      <c r="S193">
        <v>977.74</v>
      </c>
    </row>
    <row r="194" spans="16:19" x14ac:dyDescent="0.35">
      <c r="P194">
        <v>1</v>
      </c>
      <c r="Q194">
        <v>645.46</v>
      </c>
      <c r="R194">
        <v>5</v>
      </c>
      <c r="S194">
        <v>645.46</v>
      </c>
    </row>
    <row r="195" spans="16:19" x14ac:dyDescent="0.35">
      <c r="P195">
        <v>1</v>
      </c>
      <c r="Q195">
        <v>46.66</v>
      </c>
      <c r="R195">
        <v>6</v>
      </c>
      <c r="S195">
        <v>46.66</v>
      </c>
    </row>
    <row r="196" spans="16:19" x14ac:dyDescent="0.35">
      <c r="P196">
        <v>1</v>
      </c>
      <c r="Q196">
        <v>249.57</v>
      </c>
      <c r="R196">
        <v>3</v>
      </c>
      <c r="S196">
        <v>249.57</v>
      </c>
    </row>
    <row r="197" spans="16:19" x14ac:dyDescent="0.35">
      <c r="P197">
        <v>3</v>
      </c>
      <c r="Q197">
        <v>619.21</v>
      </c>
      <c r="R197">
        <v>6</v>
      </c>
      <c r="S197">
        <v>1857.63</v>
      </c>
    </row>
    <row r="198" spans="16:19" x14ac:dyDescent="0.35">
      <c r="P198">
        <v>4</v>
      </c>
      <c r="Q198">
        <v>217.13</v>
      </c>
      <c r="R198">
        <v>8</v>
      </c>
      <c r="S198">
        <v>868.52</v>
      </c>
    </row>
    <row r="199" spans="16:19" x14ac:dyDescent="0.35">
      <c r="P199">
        <v>5</v>
      </c>
      <c r="Q199">
        <v>221.51</v>
      </c>
      <c r="R199">
        <v>5</v>
      </c>
      <c r="S199">
        <v>1107.55</v>
      </c>
    </row>
    <row r="200" spans="16:19" x14ac:dyDescent="0.35">
      <c r="P200">
        <v>4</v>
      </c>
      <c r="Q200">
        <v>340.3</v>
      </c>
      <c r="R200">
        <v>8</v>
      </c>
      <c r="S200">
        <v>1361.2</v>
      </c>
    </row>
    <row r="201" spans="16:19" x14ac:dyDescent="0.35">
      <c r="P201">
        <v>1</v>
      </c>
      <c r="Q201">
        <v>625</v>
      </c>
      <c r="R201">
        <v>5</v>
      </c>
      <c r="S201">
        <v>625</v>
      </c>
    </row>
    <row r="202" spans="16:19" x14ac:dyDescent="0.35">
      <c r="P202">
        <v>5</v>
      </c>
      <c r="Q202">
        <v>433.26</v>
      </c>
      <c r="R202">
        <v>9</v>
      </c>
      <c r="S202">
        <v>2166.3000000000002</v>
      </c>
    </row>
    <row r="203" spans="16:19" x14ac:dyDescent="0.35">
      <c r="P203">
        <v>2</v>
      </c>
      <c r="Q203">
        <v>674.9</v>
      </c>
      <c r="R203">
        <v>4</v>
      </c>
      <c r="S203">
        <v>1349.8</v>
      </c>
    </row>
    <row r="204" spans="16:19" x14ac:dyDescent="0.35">
      <c r="P204">
        <v>3</v>
      </c>
      <c r="Q204">
        <v>253.98</v>
      </c>
      <c r="R204">
        <v>3</v>
      </c>
      <c r="S204">
        <v>761.93999999999994</v>
      </c>
    </row>
    <row r="205" spans="16:19" x14ac:dyDescent="0.35">
      <c r="P205">
        <v>3</v>
      </c>
      <c r="Q205">
        <v>356.84</v>
      </c>
      <c r="R205">
        <v>5</v>
      </c>
      <c r="S205">
        <v>1070.52</v>
      </c>
    </row>
    <row r="206" spans="16:19" x14ac:dyDescent="0.35">
      <c r="P206">
        <v>4</v>
      </c>
      <c r="Q206">
        <v>413.71</v>
      </c>
      <c r="R206">
        <v>9</v>
      </c>
      <c r="S206">
        <v>1654.84</v>
      </c>
    </row>
    <row r="207" spans="16:19" x14ac:dyDescent="0.35">
      <c r="P207">
        <v>3</v>
      </c>
      <c r="Q207">
        <v>147.38999999999999</v>
      </c>
      <c r="R207">
        <v>3</v>
      </c>
      <c r="S207">
        <v>442.17</v>
      </c>
    </row>
    <row r="208" spans="16:19" x14ac:dyDescent="0.35">
      <c r="P208">
        <v>4</v>
      </c>
      <c r="Q208">
        <v>229.1</v>
      </c>
      <c r="R208">
        <v>8</v>
      </c>
      <c r="S208">
        <v>916.4</v>
      </c>
    </row>
    <row r="209" spans="16:19" x14ac:dyDescent="0.35">
      <c r="P209">
        <v>1</v>
      </c>
      <c r="Q209">
        <v>121.96</v>
      </c>
      <c r="R209">
        <v>3</v>
      </c>
      <c r="S209">
        <v>121.96</v>
      </c>
    </row>
    <row r="210" spans="16:19" x14ac:dyDescent="0.35">
      <c r="P210">
        <v>2</v>
      </c>
      <c r="Q210">
        <v>408.32</v>
      </c>
      <c r="R210">
        <v>3</v>
      </c>
      <c r="S210">
        <v>816.64</v>
      </c>
    </row>
    <row r="211" spans="16:19" x14ac:dyDescent="0.35">
      <c r="P211">
        <v>5</v>
      </c>
      <c r="Q211">
        <v>187.97</v>
      </c>
      <c r="R211">
        <v>9</v>
      </c>
      <c r="S211">
        <v>939.85</v>
      </c>
    </row>
    <row r="212" spans="16:19" x14ac:dyDescent="0.35">
      <c r="P212">
        <v>3</v>
      </c>
      <c r="Q212">
        <v>358.48</v>
      </c>
      <c r="R212">
        <v>7</v>
      </c>
      <c r="S212">
        <v>1075.44</v>
      </c>
    </row>
    <row r="213" spans="16:19" x14ac:dyDescent="0.35">
      <c r="P213">
        <v>3</v>
      </c>
      <c r="Q213">
        <v>193.58</v>
      </c>
      <c r="R213">
        <v>7</v>
      </c>
      <c r="S213">
        <v>580.74</v>
      </c>
    </row>
    <row r="214" spans="16:19" x14ac:dyDescent="0.35">
      <c r="P214">
        <v>1</v>
      </c>
      <c r="Q214">
        <v>265.38</v>
      </c>
      <c r="R214">
        <v>6</v>
      </c>
      <c r="S214">
        <v>265.38</v>
      </c>
    </row>
    <row r="215" spans="16:19" x14ac:dyDescent="0.35">
      <c r="P215">
        <v>1</v>
      </c>
      <c r="Q215">
        <v>634.4</v>
      </c>
      <c r="R215">
        <v>6</v>
      </c>
      <c r="S215">
        <v>634.4</v>
      </c>
    </row>
    <row r="216" spans="16:19" x14ac:dyDescent="0.35">
      <c r="P216">
        <v>4</v>
      </c>
      <c r="Q216">
        <v>305.72000000000003</v>
      </c>
      <c r="R216">
        <v>5</v>
      </c>
      <c r="S216">
        <v>1222.8800000000001</v>
      </c>
    </row>
    <row r="217" spans="16:19" x14ac:dyDescent="0.35">
      <c r="P217">
        <v>1</v>
      </c>
      <c r="Q217">
        <v>303.60000000000002</v>
      </c>
      <c r="R217">
        <v>5</v>
      </c>
      <c r="S217">
        <v>303.60000000000002</v>
      </c>
    </row>
    <row r="218" spans="16:19" x14ac:dyDescent="0.35">
      <c r="P218">
        <v>4</v>
      </c>
      <c r="Q218">
        <v>496</v>
      </c>
      <c r="R218">
        <v>8</v>
      </c>
      <c r="S218">
        <v>1984</v>
      </c>
    </row>
    <row r="219" spans="16:19" x14ac:dyDescent="0.35">
      <c r="P219">
        <v>4</v>
      </c>
      <c r="Q219">
        <v>321.51</v>
      </c>
      <c r="R219">
        <v>9</v>
      </c>
      <c r="S219">
        <v>1286.04</v>
      </c>
    </row>
    <row r="220" spans="16:19" x14ac:dyDescent="0.35">
      <c r="P220">
        <v>3</v>
      </c>
      <c r="Q220">
        <v>112.46</v>
      </c>
      <c r="R220">
        <v>6</v>
      </c>
      <c r="S220">
        <v>337.38</v>
      </c>
    </row>
    <row r="221" spans="16:19" x14ac:dyDescent="0.35">
      <c r="P221">
        <v>5</v>
      </c>
      <c r="Q221">
        <v>61.97</v>
      </c>
      <c r="R221">
        <v>6</v>
      </c>
      <c r="S221">
        <v>309.85000000000002</v>
      </c>
    </row>
    <row r="222" spans="16:19" x14ac:dyDescent="0.35">
      <c r="P222">
        <v>2</v>
      </c>
      <c r="Q222">
        <v>373.17</v>
      </c>
      <c r="R222">
        <v>6</v>
      </c>
      <c r="S222">
        <v>746.34</v>
      </c>
    </row>
    <row r="223" spans="16:19" x14ac:dyDescent="0.35">
      <c r="P223">
        <v>5</v>
      </c>
      <c r="Q223">
        <v>639.37</v>
      </c>
      <c r="R223">
        <v>6</v>
      </c>
      <c r="S223">
        <v>3196.85</v>
      </c>
    </row>
    <row r="224" spans="16:19" x14ac:dyDescent="0.35">
      <c r="P224">
        <v>4</v>
      </c>
      <c r="Q224">
        <v>693.36</v>
      </c>
      <c r="R224">
        <v>8</v>
      </c>
      <c r="S224">
        <v>2773.44</v>
      </c>
    </row>
    <row r="225" spans="16:19" x14ac:dyDescent="0.35">
      <c r="P225">
        <v>4</v>
      </c>
      <c r="Q225">
        <v>692.91</v>
      </c>
      <c r="R225">
        <v>9</v>
      </c>
      <c r="S225">
        <v>2771.64</v>
      </c>
    </row>
    <row r="226" spans="16:19" x14ac:dyDescent="0.35">
      <c r="P226">
        <v>4</v>
      </c>
      <c r="Q226">
        <v>91.46</v>
      </c>
      <c r="R226">
        <v>9</v>
      </c>
      <c r="S226">
        <v>365.84</v>
      </c>
    </row>
    <row r="227" spans="16:19" x14ac:dyDescent="0.35">
      <c r="P227">
        <v>3</v>
      </c>
      <c r="Q227">
        <v>273.95999999999998</v>
      </c>
      <c r="R227">
        <v>8</v>
      </c>
      <c r="S227">
        <v>821.87999999999988</v>
      </c>
    </row>
    <row r="228" spans="16:19" x14ac:dyDescent="0.35">
      <c r="P228">
        <v>3</v>
      </c>
      <c r="Q228">
        <v>588.04999999999995</v>
      </c>
      <c r="R228">
        <v>8</v>
      </c>
      <c r="S228">
        <v>1764.15</v>
      </c>
    </row>
    <row r="229" spans="16:19" x14ac:dyDescent="0.35">
      <c r="P229">
        <v>2</v>
      </c>
      <c r="Q229">
        <v>365.17</v>
      </c>
      <c r="R229">
        <v>4</v>
      </c>
      <c r="S229">
        <v>730.34</v>
      </c>
    </row>
    <row r="230" spans="16:19" x14ac:dyDescent="0.35">
      <c r="P230">
        <v>4</v>
      </c>
      <c r="Q230">
        <v>385.92</v>
      </c>
      <c r="R230">
        <v>8</v>
      </c>
      <c r="S230">
        <v>1543.68</v>
      </c>
    </row>
    <row r="231" spans="16:19" x14ac:dyDescent="0.35">
      <c r="P231">
        <v>1</v>
      </c>
      <c r="Q231">
        <v>562.61</v>
      </c>
      <c r="R231">
        <v>3</v>
      </c>
      <c r="S231">
        <v>562.61</v>
      </c>
    </row>
    <row r="232" spans="16:19" x14ac:dyDescent="0.35">
      <c r="P232">
        <v>4</v>
      </c>
      <c r="Q232">
        <v>61.91</v>
      </c>
      <c r="R232">
        <v>6</v>
      </c>
      <c r="S232">
        <v>247.64</v>
      </c>
    </row>
    <row r="233" spans="16:19" x14ac:dyDescent="0.35">
      <c r="P233">
        <v>4</v>
      </c>
      <c r="Q233">
        <v>41.9</v>
      </c>
      <c r="R233">
        <v>9</v>
      </c>
      <c r="S233">
        <v>167.6</v>
      </c>
    </row>
    <row r="234" spans="16:19" x14ac:dyDescent="0.35">
      <c r="P234">
        <v>4</v>
      </c>
      <c r="Q234">
        <v>444.44</v>
      </c>
      <c r="R234">
        <v>8</v>
      </c>
      <c r="S234">
        <v>1777.76</v>
      </c>
    </row>
    <row r="235" spans="16:19" x14ac:dyDescent="0.35">
      <c r="P235">
        <v>3</v>
      </c>
      <c r="Q235">
        <v>311.33</v>
      </c>
      <c r="R235">
        <v>3</v>
      </c>
      <c r="S235">
        <v>933.99</v>
      </c>
    </row>
    <row r="236" spans="16:19" x14ac:dyDescent="0.35">
      <c r="P236">
        <v>4</v>
      </c>
      <c r="Q236">
        <v>236.41</v>
      </c>
      <c r="R236">
        <v>7</v>
      </c>
      <c r="S236">
        <v>945.64</v>
      </c>
    </row>
    <row r="237" spans="16:19" x14ac:dyDescent="0.35">
      <c r="P237">
        <v>1</v>
      </c>
      <c r="Q237">
        <v>65.45</v>
      </c>
      <c r="R237">
        <v>2</v>
      </c>
      <c r="S237">
        <v>65.45</v>
      </c>
    </row>
    <row r="238" spans="16:19" x14ac:dyDescent="0.35">
      <c r="P238">
        <v>1</v>
      </c>
      <c r="Q238">
        <v>318.81</v>
      </c>
      <c r="R238">
        <v>3</v>
      </c>
      <c r="S238">
        <v>318.81</v>
      </c>
    </row>
    <row r="239" spans="16:19" x14ac:dyDescent="0.35">
      <c r="P239">
        <v>3</v>
      </c>
      <c r="Q239">
        <v>583.72</v>
      </c>
      <c r="R239">
        <v>5</v>
      </c>
      <c r="S239">
        <v>1751.16</v>
      </c>
    </row>
    <row r="240" spans="16:19" x14ac:dyDescent="0.35">
      <c r="P240">
        <v>4</v>
      </c>
      <c r="Q240">
        <v>384.32</v>
      </c>
      <c r="R240">
        <v>6</v>
      </c>
      <c r="S240">
        <v>1537.28</v>
      </c>
    </row>
    <row r="241" spans="16:19" x14ac:dyDescent="0.35">
      <c r="P241">
        <v>3</v>
      </c>
      <c r="Q241">
        <v>538.74</v>
      </c>
      <c r="R241">
        <v>6</v>
      </c>
      <c r="S241">
        <v>1616.22</v>
      </c>
    </row>
    <row r="242" spans="16:19" x14ac:dyDescent="0.35">
      <c r="P242">
        <v>1</v>
      </c>
      <c r="Q242">
        <v>17.239999999999998</v>
      </c>
      <c r="R242">
        <v>2</v>
      </c>
      <c r="S242">
        <v>17.239999999999998</v>
      </c>
    </row>
    <row r="243" spans="16:19" x14ac:dyDescent="0.35">
      <c r="P243">
        <v>5</v>
      </c>
      <c r="Q243">
        <v>615.66999999999996</v>
      </c>
      <c r="R243">
        <v>6</v>
      </c>
      <c r="S243">
        <v>3078.35</v>
      </c>
    </row>
    <row r="244" spans="16:19" x14ac:dyDescent="0.35">
      <c r="P244">
        <v>2</v>
      </c>
      <c r="Q244">
        <v>219.1</v>
      </c>
      <c r="R244">
        <v>4</v>
      </c>
      <c r="S244">
        <v>438.2</v>
      </c>
    </row>
    <row r="245" spans="16:19" x14ac:dyDescent="0.35">
      <c r="P245">
        <v>2</v>
      </c>
      <c r="Q245">
        <v>144.66</v>
      </c>
      <c r="R245">
        <v>7</v>
      </c>
      <c r="S245">
        <v>289.32</v>
      </c>
    </row>
    <row r="246" spans="16:19" x14ac:dyDescent="0.35">
      <c r="P246">
        <v>2</v>
      </c>
      <c r="Q246">
        <v>317.77</v>
      </c>
      <c r="R246">
        <v>4</v>
      </c>
      <c r="S246">
        <v>635.54</v>
      </c>
    </row>
    <row r="247" spans="16:19" x14ac:dyDescent="0.35">
      <c r="P247">
        <v>1</v>
      </c>
      <c r="Q247">
        <v>223.3</v>
      </c>
      <c r="R247">
        <v>1</v>
      </c>
      <c r="S247">
        <v>223.3</v>
      </c>
    </row>
    <row r="248" spans="16:19" x14ac:dyDescent="0.35">
      <c r="P248">
        <v>2</v>
      </c>
      <c r="Q248">
        <v>342.11</v>
      </c>
      <c r="R248">
        <v>2</v>
      </c>
      <c r="S248">
        <v>684.22</v>
      </c>
    </row>
    <row r="249" spans="16:19" x14ac:dyDescent="0.35">
      <c r="P249">
        <v>2</v>
      </c>
      <c r="Q249">
        <v>220.9</v>
      </c>
      <c r="R249">
        <v>4</v>
      </c>
      <c r="S249">
        <v>441.8</v>
      </c>
    </row>
    <row r="250" spans="16:19" x14ac:dyDescent="0.35">
      <c r="P250">
        <v>1</v>
      </c>
      <c r="Q250">
        <v>670.54</v>
      </c>
      <c r="R250">
        <v>6</v>
      </c>
      <c r="S250">
        <v>670.54</v>
      </c>
    </row>
    <row r="251" spans="16:19" x14ac:dyDescent="0.35">
      <c r="P251">
        <v>1</v>
      </c>
      <c r="Q251">
        <v>546.19000000000005</v>
      </c>
      <c r="R251">
        <v>5</v>
      </c>
      <c r="S251">
        <v>546.19000000000005</v>
      </c>
    </row>
    <row r="252" spans="16:19" x14ac:dyDescent="0.35">
      <c r="P252">
        <v>3</v>
      </c>
      <c r="Q252">
        <v>42.95</v>
      </c>
      <c r="R252">
        <v>8</v>
      </c>
      <c r="S252">
        <v>128.85</v>
      </c>
    </row>
    <row r="253" spans="16:19" x14ac:dyDescent="0.35">
      <c r="P253">
        <v>4</v>
      </c>
      <c r="Q253">
        <v>14.69</v>
      </c>
      <c r="R253">
        <v>9</v>
      </c>
      <c r="S253">
        <v>58.76</v>
      </c>
    </row>
    <row r="254" spans="16:19" x14ac:dyDescent="0.35">
      <c r="P254">
        <v>4</v>
      </c>
      <c r="Q254">
        <v>668.36</v>
      </c>
      <c r="R254">
        <v>5</v>
      </c>
      <c r="S254">
        <v>2673.44</v>
      </c>
    </row>
    <row r="255" spans="16:19" x14ac:dyDescent="0.35">
      <c r="P255">
        <v>4</v>
      </c>
      <c r="Q255">
        <v>413.74</v>
      </c>
      <c r="R255">
        <v>7</v>
      </c>
      <c r="S255">
        <v>1654.96</v>
      </c>
    </row>
    <row r="256" spans="16:19" x14ac:dyDescent="0.35">
      <c r="P256">
        <v>3</v>
      </c>
      <c r="Q256">
        <v>263.19</v>
      </c>
      <c r="R256">
        <v>5</v>
      </c>
      <c r="S256">
        <v>789.56999999999994</v>
      </c>
    </row>
    <row r="257" spans="16:19" x14ac:dyDescent="0.35">
      <c r="P257">
        <v>1</v>
      </c>
      <c r="Q257">
        <v>263.95999999999998</v>
      </c>
      <c r="R257">
        <v>2</v>
      </c>
      <c r="S257">
        <v>263.95999999999998</v>
      </c>
    </row>
    <row r="258" spans="16:19" x14ac:dyDescent="0.35">
      <c r="P258">
        <v>5</v>
      </c>
      <c r="Q258">
        <v>75.81</v>
      </c>
      <c r="R258">
        <v>10</v>
      </c>
      <c r="S258">
        <v>379.05</v>
      </c>
    </row>
    <row r="259" spans="16:19" x14ac:dyDescent="0.35">
      <c r="P259">
        <v>1</v>
      </c>
      <c r="Q259">
        <v>406.22</v>
      </c>
      <c r="R259">
        <v>5</v>
      </c>
      <c r="S259">
        <v>406.22</v>
      </c>
    </row>
    <row r="260" spans="16:19" x14ac:dyDescent="0.35">
      <c r="P260">
        <v>2</v>
      </c>
      <c r="Q260">
        <v>103.41</v>
      </c>
      <c r="R260">
        <v>2</v>
      </c>
      <c r="S260">
        <v>206.82</v>
      </c>
    </row>
    <row r="261" spans="16:19" x14ac:dyDescent="0.35">
      <c r="P261">
        <v>4</v>
      </c>
      <c r="Q261">
        <v>435.12</v>
      </c>
      <c r="R261">
        <v>9</v>
      </c>
      <c r="S261">
        <v>1740.48</v>
      </c>
    </row>
    <row r="262" spans="16:19" x14ac:dyDescent="0.35">
      <c r="P262">
        <v>2</v>
      </c>
      <c r="Q262">
        <v>407.79</v>
      </c>
      <c r="R262">
        <v>3</v>
      </c>
      <c r="S262">
        <v>815.58</v>
      </c>
    </row>
    <row r="263" spans="16:19" x14ac:dyDescent="0.35">
      <c r="P263">
        <v>5</v>
      </c>
      <c r="Q263">
        <v>173.65</v>
      </c>
      <c r="R263">
        <v>9</v>
      </c>
      <c r="S263">
        <v>868.25</v>
      </c>
    </row>
    <row r="264" spans="16:19" x14ac:dyDescent="0.35">
      <c r="P264">
        <v>4</v>
      </c>
      <c r="Q264">
        <v>249.07</v>
      </c>
      <c r="R264">
        <v>5</v>
      </c>
      <c r="S264">
        <v>996.28</v>
      </c>
    </row>
    <row r="265" spans="16:19" x14ac:dyDescent="0.35">
      <c r="P265">
        <v>4</v>
      </c>
      <c r="Q265">
        <v>434.85</v>
      </c>
      <c r="R265">
        <v>4</v>
      </c>
      <c r="S265">
        <v>1739.4</v>
      </c>
    </row>
    <row r="266" spans="16:19" x14ac:dyDescent="0.35">
      <c r="P266">
        <v>1</v>
      </c>
      <c r="Q266">
        <v>436.77</v>
      </c>
      <c r="R266">
        <v>5</v>
      </c>
      <c r="S266">
        <v>436.77</v>
      </c>
    </row>
    <row r="267" spans="16:19" x14ac:dyDescent="0.35">
      <c r="P267">
        <v>1</v>
      </c>
      <c r="Q267">
        <v>572.13</v>
      </c>
      <c r="R267">
        <v>4</v>
      </c>
      <c r="S267">
        <v>572.13</v>
      </c>
    </row>
    <row r="268" spans="16:19" x14ac:dyDescent="0.35">
      <c r="P268">
        <v>4</v>
      </c>
      <c r="Q268">
        <v>583.07000000000005</v>
      </c>
      <c r="R268">
        <v>6</v>
      </c>
      <c r="S268">
        <v>2332.2800000000002</v>
      </c>
    </row>
    <row r="269" spans="16:19" x14ac:dyDescent="0.35">
      <c r="P269">
        <v>5</v>
      </c>
      <c r="Q269">
        <v>468.51</v>
      </c>
      <c r="R269">
        <v>9</v>
      </c>
      <c r="S269">
        <v>2342.5500000000002</v>
      </c>
    </row>
    <row r="270" spans="16:19" x14ac:dyDescent="0.35">
      <c r="P270">
        <v>2</v>
      </c>
      <c r="Q270">
        <v>423.88</v>
      </c>
      <c r="R270">
        <v>7</v>
      </c>
      <c r="S270">
        <v>847.76</v>
      </c>
    </row>
    <row r="271" spans="16:19" x14ac:dyDescent="0.35">
      <c r="P271">
        <v>4</v>
      </c>
      <c r="Q271">
        <v>663.67</v>
      </c>
      <c r="R271">
        <v>7</v>
      </c>
      <c r="S271">
        <v>2654.68</v>
      </c>
    </row>
    <row r="272" spans="16:19" x14ac:dyDescent="0.35">
      <c r="P272">
        <v>4</v>
      </c>
      <c r="Q272">
        <v>309.91000000000003</v>
      </c>
      <c r="R272">
        <v>5</v>
      </c>
      <c r="S272">
        <v>1239.6400000000001</v>
      </c>
    </row>
    <row r="273" spans="16:19" x14ac:dyDescent="0.35">
      <c r="P273">
        <v>1</v>
      </c>
      <c r="Q273">
        <v>542.07000000000005</v>
      </c>
      <c r="R273">
        <v>6</v>
      </c>
      <c r="S273">
        <v>542.07000000000005</v>
      </c>
    </row>
    <row r="274" spans="16:19" x14ac:dyDescent="0.35">
      <c r="P274">
        <v>2</v>
      </c>
      <c r="Q274">
        <v>399.32</v>
      </c>
      <c r="R274">
        <v>6</v>
      </c>
      <c r="S274">
        <v>798.64</v>
      </c>
    </row>
    <row r="275" spans="16:19" x14ac:dyDescent="0.35">
      <c r="P275">
        <v>2</v>
      </c>
      <c r="Q275">
        <v>238.25</v>
      </c>
      <c r="R275">
        <v>7</v>
      </c>
      <c r="S275">
        <v>476.5</v>
      </c>
    </row>
    <row r="276" spans="16:19" x14ac:dyDescent="0.35">
      <c r="P276">
        <v>2</v>
      </c>
      <c r="Q276">
        <v>182.4</v>
      </c>
      <c r="R276">
        <v>5</v>
      </c>
      <c r="S276">
        <v>364.8</v>
      </c>
    </row>
    <row r="277" spans="16:19" x14ac:dyDescent="0.35">
      <c r="P277">
        <v>2</v>
      </c>
      <c r="Q277">
        <v>65.069999999999993</v>
      </c>
      <c r="R277">
        <v>4</v>
      </c>
      <c r="S277">
        <v>130.13999999999999</v>
      </c>
    </row>
    <row r="278" spans="16:19" x14ac:dyDescent="0.35">
      <c r="P278">
        <v>2</v>
      </c>
      <c r="Q278">
        <v>600.57000000000005</v>
      </c>
      <c r="R278">
        <v>3</v>
      </c>
      <c r="S278">
        <v>1201.1400000000001</v>
      </c>
    </row>
    <row r="279" spans="16:19" x14ac:dyDescent="0.35">
      <c r="P279">
        <v>5</v>
      </c>
      <c r="Q279">
        <v>90.92</v>
      </c>
      <c r="R279">
        <v>9</v>
      </c>
      <c r="S279">
        <v>454.6</v>
      </c>
    </row>
    <row r="280" spans="16:19" x14ac:dyDescent="0.35">
      <c r="P280">
        <v>5</v>
      </c>
      <c r="Q280">
        <v>362.46</v>
      </c>
      <c r="R280">
        <v>6</v>
      </c>
      <c r="S280">
        <v>1812.3</v>
      </c>
    </row>
    <row r="281" spans="16:19" x14ac:dyDescent="0.35">
      <c r="P281">
        <v>3</v>
      </c>
      <c r="Q281">
        <v>55.01</v>
      </c>
      <c r="R281">
        <v>7</v>
      </c>
      <c r="S281">
        <v>165.03</v>
      </c>
    </row>
    <row r="282" spans="16:19" x14ac:dyDescent="0.35">
      <c r="P282">
        <v>3</v>
      </c>
      <c r="Q282">
        <v>404.62</v>
      </c>
      <c r="R282">
        <v>6</v>
      </c>
      <c r="S282">
        <v>1213.8599999999999</v>
      </c>
    </row>
    <row r="283" spans="16:19" x14ac:dyDescent="0.35">
      <c r="P283">
        <v>4</v>
      </c>
      <c r="Q283">
        <v>654.79</v>
      </c>
      <c r="R283">
        <v>9</v>
      </c>
      <c r="S283">
        <v>2619.16</v>
      </c>
    </row>
    <row r="284" spans="16:19" x14ac:dyDescent="0.35">
      <c r="P284">
        <v>4</v>
      </c>
      <c r="Q284">
        <v>637.79</v>
      </c>
      <c r="R284">
        <v>9</v>
      </c>
      <c r="S284">
        <v>2551.16</v>
      </c>
    </row>
    <row r="285" spans="16:19" x14ac:dyDescent="0.35">
      <c r="P285">
        <v>4</v>
      </c>
      <c r="Q285">
        <v>540.33000000000004</v>
      </c>
      <c r="R285">
        <v>6</v>
      </c>
      <c r="S285">
        <v>2161.3200000000002</v>
      </c>
    </row>
    <row r="286" spans="16:19" x14ac:dyDescent="0.35">
      <c r="P286">
        <v>5</v>
      </c>
      <c r="Q286">
        <v>208.17</v>
      </c>
      <c r="R286">
        <v>6</v>
      </c>
      <c r="S286">
        <v>1040.8499999999999</v>
      </c>
    </row>
    <row r="287" spans="16:19" x14ac:dyDescent="0.35">
      <c r="P287">
        <v>1</v>
      </c>
      <c r="Q287">
        <v>338.31</v>
      </c>
      <c r="R287">
        <v>3</v>
      </c>
      <c r="S287">
        <v>338.31</v>
      </c>
    </row>
    <row r="288" spans="16:19" x14ac:dyDescent="0.35">
      <c r="P288">
        <v>3</v>
      </c>
      <c r="Q288">
        <v>139.44999999999999</v>
      </c>
      <c r="R288">
        <v>8</v>
      </c>
      <c r="S288">
        <v>418.35</v>
      </c>
    </row>
    <row r="289" spans="16:19" x14ac:dyDescent="0.35">
      <c r="P289">
        <v>4</v>
      </c>
      <c r="Q289">
        <v>655.17999999999995</v>
      </c>
      <c r="R289">
        <v>5</v>
      </c>
      <c r="S289">
        <v>2620.7199999999998</v>
      </c>
    </row>
    <row r="290" spans="16:19" x14ac:dyDescent="0.35">
      <c r="P290">
        <v>4</v>
      </c>
      <c r="Q290">
        <v>512.75</v>
      </c>
      <c r="R290">
        <v>8</v>
      </c>
      <c r="S290">
        <v>2051</v>
      </c>
    </row>
    <row r="291" spans="16:19" x14ac:dyDescent="0.35">
      <c r="P291">
        <v>4</v>
      </c>
      <c r="Q291">
        <v>160.49</v>
      </c>
      <c r="R291">
        <v>8</v>
      </c>
      <c r="S291">
        <v>641.96</v>
      </c>
    </row>
    <row r="292" spans="16:19" x14ac:dyDescent="0.35">
      <c r="P292">
        <v>3</v>
      </c>
      <c r="Q292">
        <v>99.9</v>
      </c>
      <c r="R292">
        <v>8</v>
      </c>
      <c r="S292">
        <v>299.7</v>
      </c>
    </row>
    <row r="293" spans="16:19" x14ac:dyDescent="0.35">
      <c r="P293">
        <v>2</v>
      </c>
      <c r="Q293">
        <v>345.01</v>
      </c>
      <c r="R293">
        <v>6</v>
      </c>
      <c r="S293">
        <v>690.02</v>
      </c>
    </row>
    <row r="294" spans="16:19" x14ac:dyDescent="0.35">
      <c r="P294">
        <v>1</v>
      </c>
      <c r="Q294">
        <v>65.95</v>
      </c>
      <c r="R294">
        <v>5</v>
      </c>
      <c r="S294">
        <v>65.95</v>
      </c>
    </row>
    <row r="295" spans="16:19" x14ac:dyDescent="0.35">
      <c r="P295">
        <v>4</v>
      </c>
      <c r="Q295">
        <v>463.04</v>
      </c>
      <c r="R295">
        <v>9</v>
      </c>
      <c r="S295">
        <v>1852.16</v>
      </c>
    </row>
    <row r="296" spans="16:19" x14ac:dyDescent="0.35">
      <c r="P296">
        <v>2</v>
      </c>
      <c r="Q296">
        <v>297.70999999999998</v>
      </c>
      <c r="R296">
        <v>7</v>
      </c>
      <c r="S296">
        <v>595.41999999999996</v>
      </c>
    </row>
    <row r="297" spans="16:19" x14ac:dyDescent="0.35">
      <c r="P297">
        <v>5</v>
      </c>
      <c r="Q297">
        <v>107.48</v>
      </c>
      <c r="R297">
        <v>9</v>
      </c>
      <c r="S297">
        <v>537.4</v>
      </c>
    </row>
    <row r="298" spans="16:19" x14ac:dyDescent="0.35">
      <c r="P298">
        <v>5</v>
      </c>
      <c r="Q298">
        <v>638.79999999999995</v>
      </c>
      <c r="R298">
        <v>10</v>
      </c>
      <c r="S298">
        <v>3194</v>
      </c>
    </row>
    <row r="299" spans="16:19" x14ac:dyDescent="0.35">
      <c r="P299">
        <v>2</v>
      </c>
      <c r="Q299">
        <v>493.88</v>
      </c>
      <c r="R299">
        <v>7</v>
      </c>
      <c r="S299">
        <v>987.76</v>
      </c>
    </row>
    <row r="300" spans="16:19" x14ac:dyDescent="0.35">
      <c r="P300">
        <v>4</v>
      </c>
      <c r="Q300">
        <v>301.17</v>
      </c>
      <c r="R300">
        <v>6</v>
      </c>
      <c r="S300">
        <v>1204.68</v>
      </c>
    </row>
    <row r="301" spans="16:19" x14ac:dyDescent="0.35">
      <c r="P301">
        <v>1</v>
      </c>
      <c r="Q301">
        <v>278.66000000000003</v>
      </c>
      <c r="R301">
        <v>2</v>
      </c>
      <c r="S301">
        <v>278.66000000000003</v>
      </c>
    </row>
    <row r="302" spans="16:19" x14ac:dyDescent="0.35">
      <c r="P302">
        <v>1</v>
      </c>
      <c r="Q302">
        <v>287.45999999999998</v>
      </c>
      <c r="R302">
        <v>3</v>
      </c>
      <c r="S302">
        <v>287.45999999999998</v>
      </c>
    </row>
    <row r="303" spans="16:19" x14ac:dyDescent="0.35">
      <c r="P303">
        <v>1</v>
      </c>
      <c r="Q303">
        <v>583.99</v>
      </c>
      <c r="R303">
        <v>2</v>
      </c>
      <c r="S303">
        <v>583.99</v>
      </c>
    </row>
    <row r="304" spans="16:19" x14ac:dyDescent="0.35">
      <c r="P304">
        <v>3</v>
      </c>
      <c r="Q304">
        <v>468.74</v>
      </c>
      <c r="R304">
        <v>4</v>
      </c>
      <c r="S304">
        <v>1406.22</v>
      </c>
    </row>
    <row r="305" spans="16:19" x14ac:dyDescent="0.35">
      <c r="P305">
        <v>1</v>
      </c>
      <c r="Q305">
        <v>30.54</v>
      </c>
      <c r="R305">
        <v>1</v>
      </c>
      <c r="S305">
        <v>30.54</v>
      </c>
    </row>
    <row r="306" spans="16:19" x14ac:dyDescent="0.35">
      <c r="P306">
        <v>5</v>
      </c>
      <c r="Q306">
        <v>408.73</v>
      </c>
      <c r="R306">
        <v>10</v>
      </c>
      <c r="S306">
        <v>2043.65</v>
      </c>
    </row>
    <row r="307" spans="16:19" x14ac:dyDescent="0.35">
      <c r="P307">
        <v>4</v>
      </c>
      <c r="Q307">
        <v>126.89</v>
      </c>
      <c r="R307">
        <v>9</v>
      </c>
      <c r="S307">
        <v>507.56</v>
      </c>
    </row>
    <row r="308" spans="16:19" x14ac:dyDescent="0.35">
      <c r="P308">
        <v>2</v>
      </c>
      <c r="Q308">
        <v>57.07</v>
      </c>
      <c r="R308">
        <v>3</v>
      </c>
      <c r="S308">
        <v>114.14</v>
      </c>
    </row>
    <row r="309" spans="16:19" x14ac:dyDescent="0.35">
      <c r="P309">
        <v>3</v>
      </c>
      <c r="Q309">
        <v>557.41</v>
      </c>
      <c r="R309">
        <v>4</v>
      </c>
      <c r="S309">
        <v>1672.23</v>
      </c>
    </row>
    <row r="310" spans="16:19" x14ac:dyDescent="0.35">
      <c r="P310">
        <v>3</v>
      </c>
      <c r="Q310">
        <v>448.9</v>
      </c>
      <c r="R310">
        <v>7</v>
      </c>
      <c r="S310">
        <v>1346.7</v>
      </c>
    </row>
    <row r="311" spans="16:19" x14ac:dyDescent="0.35">
      <c r="P311">
        <v>4</v>
      </c>
      <c r="Q311">
        <v>549.76</v>
      </c>
      <c r="R311">
        <v>4</v>
      </c>
      <c r="S311">
        <v>2199.04</v>
      </c>
    </row>
    <row r="312" spans="16:19" x14ac:dyDescent="0.35">
      <c r="P312">
        <v>3</v>
      </c>
      <c r="Q312">
        <v>132.47999999999999</v>
      </c>
      <c r="R312">
        <v>4</v>
      </c>
      <c r="S312">
        <v>397.43999999999988</v>
      </c>
    </row>
    <row r="313" spans="16:19" x14ac:dyDescent="0.35">
      <c r="P313">
        <v>5</v>
      </c>
      <c r="Q313">
        <v>489.37</v>
      </c>
      <c r="R313">
        <v>8</v>
      </c>
      <c r="S313">
        <v>2446.85</v>
      </c>
    </row>
    <row r="314" spans="16:19" x14ac:dyDescent="0.35">
      <c r="P314">
        <v>5</v>
      </c>
      <c r="Q314">
        <v>66.31</v>
      </c>
      <c r="R314">
        <v>7</v>
      </c>
      <c r="S314">
        <v>331.55</v>
      </c>
    </row>
    <row r="315" spans="16:19" x14ac:dyDescent="0.35">
      <c r="P315">
        <v>2</v>
      </c>
      <c r="Q315">
        <v>434.3</v>
      </c>
      <c r="R315">
        <v>7</v>
      </c>
      <c r="S315">
        <v>868.6</v>
      </c>
    </row>
    <row r="316" spans="16:19" x14ac:dyDescent="0.35">
      <c r="P316">
        <v>4</v>
      </c>
      <c r="Q316">
        <v>153.09</v>
      </c>
      <c r="R316">
        <v>4</v>
      </c>
      <c r="S316">
        <v>612.36</v>
      </c>
    </row>
    <row r="317" spans="16:19" x14ac:dyDescent="0.35">
      <c r="P317">
        <v>5</v>
      </c>
      <c r="Q317">
        <v>91.67</v>
      </c>
      <c r="R317">
        <v>9</v>
      </c>
      <c r="S317">
        <v>458.35</v>
      </c>
    </row>
    <row r="318" spans="16:19" x14ac:dyDescent="0.35">
      <c r="P318">
        <v>4</v>
      </c>
      <c r="Q318">
        <v>275.27999999999997</v>
      </c>
      <c r="R318">
        <v>9</v>
      </c>
      <c r="S318">
        <v>1101.1199999999999</v>
      </c>
    </row>
    <row r="319" spans="16:19" x14ac:dyDescent="0.35">
      <c r="P319">
        <v>2</v>
      </c>
      <c r="Q319">
        <v>139.94999999999999</v>
      </c>
      <c r="R319">
        <v>5</v>
      </c>
      <c r="S319">
        <v>279.89999999999998</v>
      </c>
    </row>
    <row r="320" spans="16:19" x14ac:dyDescent="0.35">
      <c r="P320">
        <v>3</v>
      </c>
      <c r="Q320">
        <v>148.72</v>
      </c>
      <c r="R320">
        <v>7</v>
      </c>
      <c r="S320">
        <v>446.16</v>
      </c>
    </row>
    <row r="321" spans="16:19" x14ac:dyDescent="0.35">
      <c r="P321">
        <v>2</v>
      </c>
      <c r="Q321">
        <v>563.05999999999995</v>
      </c>
      <c r="R321">
        <v>6</v>
      </c>
      <c r="S321">
        <v>1126.1199999999999</v>
      </c>
    </row>
    <row r="322" spans="16:19" x14ac:dyDescent="0.35">
      <c r="P322">
        <v>1</v>
      </c>
      <c r="Q322">
        <v>625.51</v>
      </c>
      <c r="R322">
        <v>1</v>
      </c>
      <c r="S322">
        <v>625.51</v>
      </c>
    </row>
    <row r="323" spans="16:19" x14ac:dyDescent="0.35">
      <c r="P323">
        <v>4</v>
      </c>
      <c r="Q323">
        <v>152.29</v>
      </c>
      <c r="R323">
        <v>6</v>
      </c>
      <c r="S323">
        <v>609.16</v>
      </c>
    </row>
    <row r="324" spans="16:19" x14ac:dyDescent="0.35">
      <c r="P324">
        <v>5</v>
      </c>
      <c r="Q324">
        <v>231.82</v>
      </c>
      <c r="R324">
        <v>6</v>
      </c>
      <c r="S324">
        <v>1159.0999999999999</v>
      </c>
    </row>
    <row r="325" spans="16:19" x14ac:dyDescent="0.35">
      <c r="P325">
        <v>1</v>
      </c>
      <c r="Q325">
        <v>150.16999999999999</v>
      </c>
      <c r="R325">
        <v>1</v>
      </c>
      <c r="S325">
        <v>150.16999999999999</v>
      </c>
    </row>
    <row r="326" spans="16:19" x14ac:dyDescent="0.35">
      <c r="P326">
        <v>3</v>
      </c>
      <c r="Q326">
        <v>70.930000000000007</v>
      </c>
      <c r="R326">
        <v>5</v>
      </c>
      <c r="S326">
        <v>212.79</v>
      </c>
    </row>
    <row r="327" spans="16:19" x14ac:dyDescent="0.35">
      <c r="P327">
        <v>3</v>
      </c>
      <c r="Q327">
        <v>361.39</v>
      </c>
      <c r="R327">
        <v>8</v>
      </c>
      <c r="S327">
        <v>1084.17</v>
      </c>
    </row>
    <row r="328" spans="16:19" x14ac:dyDescent="0.35">
      <c r="P328">
        <v>5</v>
      </c>
      <c r="Q328">
        <v>670.48</v>
      </c>
      <c r="R328">
        <v>5</v>
      </c>
      <c r="S328">
        <v>3352.4</v>
      </c>
    </row>
    <row r="329" spans="16:19" x14ac:dyDescent="0.35">
      <c r="P329">
        <v>1</v>
      </c>
      <c r="Q329">
        <v>359.99</v>
      </c>
      <c r="R329">
        <v>5</v>
      </c>
      <c r="S329">
        <v>359.99</v>
      </c>
    </row>
    <row r="330" spans="16:19" x14ac:dyDescent="0.35">
      <c r="P330">
        <v>5</v>
      </c>
      <c r="Q330">
        <v>674.04</v>
      </c>
      <c r="R330">
        <v>7</v>
      </c>
      <c r="S330">
        <v>3370.2</v>
      </c>
    </row>
    <row r="331" spans="16:19" x14ac:dyDescent="0.35">
      <c r="P331">
        <v>4</v>
      </c>
      <c r="Q331">
        <v>283.16000000000003</v>
      </c>
      <c r="R331">
        <v>6</v>
      </c>
      <c r="S331">
        <v>1132.6400000000001</v>
      </c>
    </row>
    <row r="332" spans="16:19" x14ac:dyDescent="0.35">
      <c r="P332">
        <v>5</v>
      </c>
      <c r="Q332">
        <v>260.52999999999997</v>
      </c>
      <c r="R332">
        <v>5</v>
      </c>
      <c r="S332">
        <v>1302.6500000000001</v>
      </c>
    </row>
    <row r="333" spans="16:19" x14ac:dyDescent="0.35">
      <c r="P333">
        <v>3</v>
      </c>
      <c r="Q333">
        <v>422.13</v>
      </c>
      <c r="R333">
        <v>7</v>
      </c>
      <c r="S333">
        <v>1266.3900000000001</v>
      </c>
    </row>
    <row r="334" spans="16:19" x14ac:dyDescent="0.35">
      <c r="P334">
        <v>5</v>
      </c>
      <c r="Q334">
        <v>125.02</v>
      </c>
      <c r="R334">
        <v>9</v>
      </c>
      <c r="S334">
        <v>625.1</v>
      </c>
    </row>
    <row r="335" spans="16:19" x14ac:dyDescent="0.35">
      <c r="P335">
        <v>1</v>
      </c>
      <c r="Q335">
        <v>198.51</v>
      </c>
      <c r="R335">
        <v>5</v>
      </c>
      <c r="S335">
        <v>198.51</v>
      </c>
    </row>
    <row r="336" spans="16:19" x14ac:dyDescent="0.35">
      <c r="P336">
        <v>4</v>
      </c>
      <c r="Q336">
        <v>224.75</v>
      </c>
      <c r="R336">
        <v>7</v>
      </c>
      <c r="S336">
        <v>899</v>
      </c>
    </row>
    <row r="337" spans="16:19" x14ac:dyDescent="0.35">
      <c r="P337">
        <v>3</v>
      </c>
      <c r="Q337">
        <v>205.86</v>
      </c>
      <c r="R337">
        <v>4</v>
      </c>
      <c r="S337">
        <v>617.58000000000004</v>
      </c>
    </row>
    <row r="338" spans="16:19" x14ac:dyDescent="0.35">
      <c r="P338">
        <v>1</v>
      </c>
      <c r="Q338">
        <v>18.2</v>
      </c>
      <c r="R338">
        <v>4</v>
      </c>
      <c r="S338">
        <v>18.2</v>
      </c>
    </row>
    <row r="339" spans="16:19" x14ac:dyDescent="0.35">
      <c r="P339">
        <v>3</v>
      </c>
      <c r="Q339">
        <v>502.77</v>
      </c>
      <c r="R339">
        <v>8</v>
      </c>
      <c r="S339">
        <v>1508.31</v>
      </c>
    </row>
    <row r="340" spans="16:19" x14ac:dyDescent="0.35">
      <c r="P340">
        <v>5</v>
      </c>
      <c r="Q340">
        <v>305.49</v>
      </c>
      <c r="R340">
        <v>10</v>
      </c>
      <c r="S340">
        <v>1527.45</v>
      </c>
    </row>
    <row r="341" spans="16:19" x14ac:dyDescent="0.35">
      <c r="P341">
        <v>2</v>
      </c>
      <c r="Q341">
        <v>236.33</v>
      </c>
      <c r="R341">
        <v>3</v>
      </c>
      <c r="S341">
        <v>472.66</v>
      </c>
    </row>
    <row r="342" spans="16:19" x14ac:dyDescent="0.35">
      <c r="P342">
        <v>5</v>
      </c>
      <c r="Q342">
        <v>521.25</v>
      </c>
      <c r="R342">
        <v>8</v>
      </c>
      <c r="S342">
        <v>2606.25</v>
      </c>
    </row>
    <row r="343" spans="16:19" x14ac:dyDescent="0.35">
      <c r="P343">
        <v>1</v>
      </c>
      <c r="Q343">
        <v>167.15</v>
      </c>
      <c r="R343">
        <v>5</v>
      </c>
      <c r="S343">
        <v>167.15</v>
      </c>
    </row>
    <row r="344" spans="16:19" x14ac:dyDescent="0.35">
      <c r="P344">
        <v>5</v>
      </c>
      <c r="Q344">
        <v>466.42</v>
      </c>
      <c r="R344">
        <v>5</v>
      </c>
      <c r="S344">
        <v>2332.1</v>
      </c>
    </row>
    <row r="345" spans="16:19" x14ac:dyDescent="0.35">
      <c r="P345">
        <v>1</v>
      </c>
      <c r="Q345">
        <v>527.57000000000005</v>
      </c>
      <c r="R345">
        <v>3</v>
      </c>
      <c r="S345">
        <v>527.57000000000005</v>
      </c>
    </row>
    <row r="346" spans="16:19" x14ac:dyDescent="0.35">
      <c r="P346">
        <v>3</v>
      </c>
      <c r="Q346">
        <v>623.34</v>
      </c>
      <c r="R346">
        <v>3</v>
      </c>
      <c r="S346">
        <v>1870.02</v>
      </c>
    </row>
    <row r="347" spans="16:19" x14ac:dyDescent="0.35">
      <c r="P347">
        <v>5</v>
      </c>
      <c r="Q347">
        <v>501.26</v>
      </c>
      <c r="R347">
        <v>10</v>
      </c>
      <c r="S347">
        <v>2506.3000000000002</v>
      </c>
    </row>
    <row r="348" spans="16:19" x14ac:dyDescent="0.35">
      <c r="P348">
        <v>1</v>
      </c>
      <c r="Q348">
        <v>655.09</v>
      </c>
      <c r="R348">
        <v>6</v>
      </c>
      <c r="S348">
        <v>655.09</v>
      </c>
    </row>
    <row r="349" spans="16:19" x14ac:dyDescent="0.35">
      <c r="P349">
        <v>4</v>
      </c>
      <c r="Q349">
        <v>264.79000000000002</v>
      </c>
      <c r="R349">
        <v>5</v>
      </c>
      <c r="S349">
        <v>1059.1600000000001</v>
      </c>
    </row>
    <row r="350" spans="16:19" x14ac:dyDescent="0.35">
      <c r="P350">
        <v>3</v>
      </c>
      <c r="Q350">
        <v>359.73</v>
      </c>
      <c r="R350">
        <v>7</v>
      </c>
      <c r="S350">
        <v>1079.19</v>
      </c>
    </row>
    <row r="351" spans="16:19" x14ac:dyDescent="0.35">
      <c r="P351">
        <v>1</v>
      </c>
      <c r="Q351">
        <v>465.33</v>
      </c>
      <c r="R351">
        <v>2</v>
      </c>
      <c r="S351">
        <v>465.33</v>
      </c>
    </row>
    <row r="352" spans="16:19" x14ac:dyDescent="0.35">
      <c r="P352">
        <v>2</v>
      </c>
      <c r="Q352">
        <v>54.41</v>
      </c>
      <c r="R352">
        <v>6</v>
      </c>
      <c r="S352">
        <v>108.82</v>
      </c>
    </row>
    <row r="353" spans="16:19" x14ac:dyDescent="0.35">
      <c r="P353">
        <v>1</v>
      </c>
      <c r="Q353">
        <v>64.66</v>
      </c>
      <c r="R353">
        <v>4</v>
      </c>
      <c r="S353">
        <v>64.66</v>
      </c>
    </row>
    <row r="354" spans="16:19" x14ac:dyDescent="0.35">
      <c r="P354">
        <v>5</v>
      </c>
      <c r="Q354">
        <v>173.96</v>
      </c>
      <c r="R354">
        <v>8</v>
      </c>
      <c r="S354">
        <v>869.80000000000007</v>
      </c>
    </row>
    <row r="355" spans="16:19" x14ac:dyDescent="0.35">
      <c r="P355">
        <v>1</v>
      </c>
      <c r="Q355">
        <v>630.82000000000005</v>
      </c>
      <c r="R355">
        <v>5</v>
      </c>
      <c r="S355">
        <v>630.82000000000005</v>
      </c>
    </row>
    <row r="356" spans="16:19" x14ac:dyDescent="0.35">
      <c r="P356">
        <v>1</v>
      </c>
      <c r="Q356">
        <v>693.41</v>
      </c>
      <c r="R356">
        <v>4</v>
      </c>
      <c r="S356">
        <v>693.41</v>
      </c>
    </row>
    <row r="357" spans="16:19" x14ac:dyDescent="0.35">
      <c r="P357">
        <v>3</v>
      </c>
      <c r="Q357">
        <v>433.33</v>
      </c>
      <c r="R357">
        <v>4</v>
      </c>
      <c r="S357">
        <v>1299.99</v>
      </c>
    </row>
    <row r="358" spans="16:19" x14ac:dyDescent="0.35">
      <c r="P358">
        <v>5</v>
      </c>
      <c r="Q358">
        <v>374.58</v>
      </c>
      <c r="R358">
        <v>10</v>
      </c>
      <c r="S358">
        <v>1872.9</v>
      </c>
    </row>
    <row r="359" spans="16:19" x14ac:dyDescent="0.35">
      <c r="P359">
        <v>5</v>
      </c>
      <c r="Q359">
        <v>408.56</v>
      </c>
      <c r="R359">
        <v>8</v>
      </c>
      <c r="S359">
        <v>2042.8</v>
      </c>
    </row>
    <row r="360" spans="16:19" x14ac:dyDescent="0.35">
      <c r="P360">
        <v>2</v>
      </c>
      <c r="Q360">
        <v>183.67</v>
      </c>
      <c r="R360">
        <v>3</v>
      </c>
      <c r="S360">
        <v>367.34</v>
      </c>
    </row>
    <row r="361" spans="16:19" x14ac:dyDescent="0.35">
      <c r="P361">
        <v>4</v>
      </c>
      <c r="Q361">
        <v>606.57000000000005</v>
      </c>
      <c r="R361">
        <v>5</v>
      </c>
      <c r="S361">
        <v>2426.2800000000002</v>
      </c>
    </row>
    <row r="362" spans="16:19" x14ac:dyDescent="0.35">
      <c r="P362">
        <v>4</v>
      </c>
      <c r="Q362">
        <v>589.57000000000005</v>
      </c>
      <c r="R362">
        <v>8</v>
      </c>
      <c r="S362">
        <v>2358.2800000000002</v>
      </c>
    </row>
    <row r="363" spans="16:19" x14ac:dyDescent="0.35">
      <c r="P363">
        <v>5</v>
      </c>
      <c r="Q363">
        <v>659.85</v>
      </c>
      <c r="R363">
        <v>9</v>
      </c>
      <c r="S363">
        <v>3299.25</v>
      </c>
    </row>
    <row r="364" spans="16:19" x14ac:dyDescent="0.35">
      <c r="P364">
        <v>4</v>
      </c>
      <c r="Q364">
        <v>206.84</v>
      </c>
      <c r="R364">
        <v>5</v>
      </c>
      <c r="S364">
        <v>827.36</v>
      </c>
    </row>
    <row r="365" spans="16:19" x14ac:dyDescent="0.35">
      <c r="P365">
        <v>5</v>
      </c>
      <c r="Q365">
        <v>113.87</v>
      </c>
      <c r="R365">
        <v>6</v>
      </c>
      <c r="S365">
        <v>569.35</v>
      </c>
    </row>
    <row r="366" spans="16:19" x14ac:dyDescent="0.35">
      <c r="P366">
        <v>5</v>
      </c>
      <c r="Q366">
        <v>628.74</v>
      </c>
      <c r="R366">
        <v>9</v>
      </c>
      <c r="S366">
        <v>3143.7</v>
      </c>
    </row>
    <row r="367" spans="16:19" x14ac:dyDescent="0.35">
      <c r="P367">
        <v>1</v>
      </c>
      <c r="Q367">
        <v>678.38</v>
      </c>
      <c r="R367">
        <v>4</v>
      </c>
      <c r="S367">
        <v>678.38</v>
      </c>
    </row>
    <row r="368" spans="16:19" x14ac:dyDescent="0.35">
      <c r="P368">
        <v>3</v>
      </c>
      <c r="Q368">
        <v>602.24</v>
      </c>
      <c r="R368">
        <v>8</v>
      </c>
      <c r="S368">
        <v>1806.72</v>
      </c>
    </row>
    <row r="369" spans="16:19" x14ac:dyDescent="0.35">
      <c r="P369">
        <v>5</v>
      </c>
      <c r="Q369">
        <v>658.77</v>
      </c>
      <c r="R369">
        <v>10</v>
      </c>
      <c r="S369">
        <v>3293.85</v>
      </c>
    </row>
    <row r="370" spans="16:19" x14ac:dyDescent="0.35">
      <c r="P370">
        <v>3</v>
      </c>
      <c r="Q370">
        <v>271.02</v>
      </c>
      <c r="R370">
        <v>6</v>
      </c>
      <c r="S370">
        <v>813.06</v>
      </c>
    </row>
    <row r="371" spans="16:19" x14ac:dyDescent="0.35">
      <c r="P371">
        <v>5</v>
      </c>
      <c r="Q371">
        <v>375.25</v>
      </c>
      <c r="R371">
        <v>9</v>
      </c>
      <c r="S371">
        <v>1876.25</v>
      </c>
    </row>
    <row r="372" spans="16:19" x14ac:dyDescent="0.35">
      <c r="P372">
        <v>1</v>
      </c>
      <c r="Q372">
        <v>312.11</v>
      </c>
      <c r="R372">
        <v>4</v>
      </c>
      <c r="S372">
        <v>312.11</v>
      </c>
    </row>
    <row r="373" spans="16:19" x14ac:dyDescent="0.35">
      <c r="P373">
        <v>5</v>
      </c>
      <c r="Q373">
        <v>307.76</v>
      </c>
      <c r="R373">
        <v>9</v>
      </c>
      <c r="S373">
        <v>1538.8</v>
      </c>
    </row>
    <row r="374" spans="16:19" x14ac:dyDescent="0.35">
      <c r="P374">
        <v>3</v>
      </c>
      <c r="Q374">
        <v>483.53</v>
      </c>
      <c r="R374">
        <v>4</v>
      </c>
      <c r="S374">
        <v>1450.59</v>
      </c>
    </row>
    <row r="375" spans="16:19" x14ac:dyDescent="0.35">
      <c r="P375">
        <v>3</v>
      </c>
      <c r="Q375">
        <v>341.15</v>
      </c>
      <c r="R375">
        <v>4</v>
      </c>
      <c r="S375">
        <v>1023.45</v>
      </c>
    </row>
    <row r="376" spans="16:19" x14ac:dyDescent="0.35">
      <c r="P376">
        <v>1</v>
      </c>
      <c r="Q376">
        <v>571.9</v>
      </c>
      <c r="R376">
        <v>1</v>
      </c>
      <c r="S376">
        <v>571.9</v>
      </c>
    </row>
    <row r="377" spans="16:19" x14ac:dyDescent="0.35">
      <c r="P377">
        <v>4</v>
      </c>
      <c r="Q377">
        <v>95.03</v>
      </c>
      <c r="R377">
        <v>8</v>
      </c>
      <c r="S377">
        <v>380.12</v>
      </c>
    </row>
    <row r="378" spans="16:19" x14ac:dyDescent="0.35">
      <c r="P378">
        <v>5</v>
      </c>
      <c r="Q378">
        <v>201.22</v>
      </c>
      <c r="R378">
        <v>6</v>
      </c>
      <c r="S378">
        <v>1006.1</v>
      </c>
    </row>
    <row r="379" spans="16:19" x14ac:dyDescent="0.35">
      <c r="P379">
        <v>1</v>
      </c>
      <c r="Q379">
        <v>260.26</v>
      </c>
      <c r="R379">
        <v>5</v>
      </c>
      <c r="S379">
        <v>260.26</v>
      </c>
    </row>
    <row r="380" spans="16:19" x14ac:dyDescent="0.35">
      <c r="P380">
        <v>5</v>
      </c>
      <c r="Q380">
        <v>64.5</v>
      </c>
      <c r="R380">
        <v>8</v>
      </c>
      <c r="S380">
        <v>322.5</v>
      </c>
    </row>
    <row r="381" spans="16:19" x14ac:dyDescent="0.35">
      <c r="P381">
        <v>3</v>
      </c>
      <c r="Q381">
        <v>297.67</v>
      </c>
      <c r="R381">
        <v>6</v>
      </c>
      <c r="S381">
        <v>893.01</v>
      </c>
    </row>
    <row r="382" spans="16:19" x14ac:dyDescent="0.35">
      <c r="P382">
        <v>4</v>
      </c>
      <c r="Q382">
        <v>331.9</v>
      </c>
      <c r="R382">
        <v>5</v>
      </c>
      <c r="S382">
        <v>1327.6</v>
      </c>
    </row>
    <row r="383" spans="16:19" x14ac:dyDescent="0.35">
      <c r="P383">
        <v>1</v>
      </c>
      <c r="Q383">
        <v>191.76</v>
      </c>
      <c r="R383">
        <v>1</v>
      </c>
      <c r="S383">
        <v>191.76</v>
      </c>
    </row>
    <row r="384" spans="16:19" x14ac:dyDescent="0.35">
      <c r="P384">
        <v>4</v>
      </c>
      <c r="Q384">
        <v>263.08999999999997</v>
      </c>
      <c r="R384">
        <v>8</v>
      </c>
      <c r="S384">
        <v>1052.3599999999999</v>
      </c>
    </row>
    <row r="385" spans="16:19" x14ac:dyDescent="0.35">
      <c r="P385">
        <v>4</v>
      </c>
      <c r="Q385">
        <v>393.8</v>
      </c>
      <c r="R385">
        <v>7</v>
      </c>
      <c r="S385">
        <v>1575.2</v>
      </c>
    </row>
    <row r="386" spans="16:19" x14ac:dyDescent="0.35">
      <c r="P386">
        <v>3</v>
      </c>
      <c r="Q386">
        <v>553.57000000000005</v>
      </c>
      <c r="R386">
        <v>4</v>
      </c>
      <c r="S386">
        <v>1660.71</v>
      </c>
    </row>
    <row r="387" spans="16:19" x14ac:dyDescent="0.35">
      <c r="P387">
        <v>5</v>
      </c>
      <c r="Q387">
        <v>191.63</v>
      </c>
      <c r="R387">
        <v>6</v>
      </c>
      <c r="S387">
        <v>958.15</v>
      </c>
    </row>
    <row r="388" spans="16:19" x14ac:dyDescent="0.35">
      <c r="P388">
        <v>1</v>
      </c>
      <c r="Q388">
        <v>93.02</v>
      </c>
      <c r="R388">
        <v>4</v>
      </c>
      <c r="S388">
        <v>93.02</v>
      </c>
    </row>
    <row r="389" spans="16:19" x14ac:dyDescent="0.35">
      <c r="P389">
        <v>2</v>
      </c>
      <c r="Q389">
        <v>39.53</v>
      </c>
      <c r="R389">
        <v>3</v>
      </c>
      <c r="S389">
        <v>79.06</v>
      </c>
    </row>
    <row r="390" spans="16:19" x14ac:dyDescent="0.35">
      <c r="P390">
        <v>3</v>
      </c>
      <c r="Q390">
        <v>633.97</v>
      </c>
      <c r="R390">
        <v>7</v>
      </c>
      <c r="S390">
        <v>1901.91</v>
      </c>
    </row>
    <row r="391" spans="16:19" x14ac:dyDescent="0.35">
      <c r="P391">
        <v>4</v>
      </c>
      <c r="Q391">
        <v>697.5</v>
      </c>
      <c r="R391">
        <v>7</v>
      </c>
      <c r="S391">
        <v>2790</v>
      </c>
    </row>
    <row r="392" spans="16:19" x14ac:dyDescent="0.35">
      <c r="P392">
        <v>5</v>
      </c>
      <c r="Q392">
        <v>508.69</v>
      </c>
      <c r="R392">
        <v>10</v>
      </c>
      <c r="S392">
        <v>2543.4499999999998</v>
      </c>
    </row>
    <row r="393" spans="16:19" x14ac:dyDescent="0.35">
      <c r="P393">
        <v>2</v>
      </c>
      <c r="Q393">
        <v>527.46</v>
      </c>
      <c r="R393">
        <v>3</v>
      </c>
      <c r="S393">
        <v>1054.92</v>
      </c>
    </row>
    <row r="394" spans="16:19" x14ac:dyDescent="0.35">
      <c r="P394">
        <v>1</v>
      </c>
      <c r="Q394">
        <v>627.20000000000005</v>
      </c>
      <c r="R394">
        <v>1</v>
      </c>
      <c r="S394">
        <v>627.20000000000005</v>
      </c>
    </row>
    <row r="395" spans="16:19" x14ac:dyDescent="0.35">
      <c r="P395">
        <v>1</v>
      </c>
      <c r="Q395">
        <v>75.010000000000005</v>
      </c>
      <c r="R395">
        <v>3</v>
      </c>
      <c r="S395">
        <v>75.010000000000005</v>
      </c>
    </row>
    <row r="396" spans="16:19" x14ac:dyDescent="0.35">
      <c r="P396">
        <v>5</v>
      </c>
      <c r="Q396">
        <v>529.54999999999995</v>
      </c>
      <c r="R396">
        <v>10</v>
      </c>
      <c r="S396">
        <v>2647.75</v>
      </c>
    </row>
    <row r="397" spans="16:19" x14ac:dyDescent="0.35">
      <c r="P397">
        <v>3</v>
      </c>
      <c r="Q397">
        <v>127.41</v>
      </c>
      <c r="R397">
        <v>7</v>
      </c>
      <c r="S397">
        <v>382.23</v>
      </c>
    </row>
    <row r="398" spans="16:19" x14ac:dyDescent="0.35">
      <c r="P398">
        <v>5</v>
      </c>
      <c r="Q398">
        <v>287.13</v>
      </c>
      <c r="R398">
        <v>10</v>
      </c>
      <c r="S398">
        <v>1435.65</v>
      </c>
    </row>
    <row r="399" spans="16:19" x14ac:dyDescent="0.35">
      <c r="P399">
        <v>1</v>
      </c>
      <c r="Q399">
        <v>427.06</v>
      </c>
      <c r="R399">
        <v>1</v>
      </c>
      <c r="S399">
        <v>427.06</v>
      </c>
    </row>
    <row r="400" spans="16:19" x14ac:dyDescent="0.35">
      <c r="P400">
        <v>5</v>
      </c>
      <c r="Q400">
        <v>53.93</v>
      </c>
      <c r="R400">
        <v>7</v>
      </c>
      <c r="S400">
        <v>269.64999999999998</v>
      </c>
    </row>
    <row r="401" spans="16:19" x14ac:dyDescent="0.35">
      <c r="P401">
        <v>5</v>
      </c>
      <c r="Q401">
        <v>423.93</v>
      </c>
      <c r="R401">
        <v>5</v>
      </c>
      <c r="S401">
        <v>2119.65</v>
      </c>
    </row>
    <row r="402" spans="16:19" x14ac:dyDescent="0.35">
      <c r="P402">
        <v>4</v>
      </c>
      <c r="Q402">
        <v>160.22</v>
      </c>
      <c r="R402">
        <v>9</v>
      </c>
      <c r="S402">
        <v>640.88</v>
      </c>
    </row>
    <row r="403" spans="16:19" x14ac:dyDescent="0.35">
      <c r="P403">
        <v>1</v>
      </c>
      <c r="Q403">
        <v>538.67999999999995</v>
      </c>
      <c r="R403">
        <v>6</v>
      </c>
      <c r="S403">
        <v>538.67999999999995</v>
      </c>
    </row>
    <row r="404" spans="16:19" x14ac:dyDescent="0.35">
      <c r="P404">
        <v>5</v>
      </c>
      <c r="Q404">
        <v>337.38</v>
      </c>
      <c r="R404">
        <v>5</v>
      </c>
      <c r="S404">
        <v>1686.9</v>
      </c>
    </row>
    <row r="405" spans="16:19" x14ac:dyDescent="0.35">
      <c r="P405">
        <v>1</v>
      </c>
      <c r="Q405">
        <v>620.21</v>
      </c>
      <c r="R405">
        <v>1</v>
      </c>
      <c r="S405">
        <v>620.21</v>
      </c>
    </row>
    <row r="406" spans="16:19" x14ac:dyDescent="0.35">
      <c r="P406">
        <v>2</v>
      </c>
      <c r="Q406">
        <v>99.1</v>
      </c>
      <c r="R406">
        <v>6</v>
      </c>
      <c r="S406">
        <v>198.2</v>
      </c>
    </row>
    <row r="407" spans="16:19" x14ac:dyDescent="0.35">
      <c r="P407">
        <v>4</v>
      </c>
      <c r="Q407">
        <v>451.97</v>
      </c>
      <c r="R407">
        <v>7</v>
      </c>
      <c r="S407">
        <v>1807.88</v>
      </c>
    </row>
    <row r="408" spans="16:19" x14ac:dyDescent="0.35">
      <c r="P408">
        <v>4</v>
      </c>
      <c r="Q408">
        <v>66.099999999999994</v>
      </c>
      <c r="R408">
        <v>9</v>
      </c>
      <c r="S408">
        <v>264.39999999999998</v>
      </c>
    </row>
    <row r="409" spans="16:19" x14ac:dyDescent="0.35">
      <c r="P409">
        <v>4</v>
      </c>
      <c r="Q409">
        <v>547.32000000000005</v>
      </c>
      <c r="R409">
        <v>8</v>
      </c>
      <c r="S409">
        <v>2189.2800000000002</v>
      </c>
    </row>
    <row r="410" spans="16:19" x14ac:dyDescent="0.35">
      <c r="P410">
        <v>3</v>
      </c>
      <c r="Q410">
        <v>412.53</v>
      </c>
      <c r="R410">
        <v>6</v>
      </c>
      <c r="S410">
        <v>1237.5899999999999</v>
      </c>
    </row>
    <row r="411" spans="16:19" x14ac:dyDescent="0.35">
      <c r="P411">
        <v>5</v>
      </c>
      <c r="Q411">
        <v>84.13</v>
      </c>
      <c r="R411">
        <v>9</v>
      </c>
      <c r="S411">
        <v>420.65</v>
      </c>
    </row>
    <row r="412" spans="16:19" x14ac:dyDescent="0.35">
      <c r="P412">
        <v>2</v>
      </c>
      <c r="Q412">
        <v>518.23</v>
      </c>
      <c r="R412">
        <v>5</v>
      </c>
      <c r="S412">
        <v>1036.46</v>
      </c>
    </row>
    <row r="413" spans="16:19" x14ac:dyDescent="0.35">
      <c r="P413">
        <v>2</v>
      </c>
      <c r="Q413">
        <v>39.51</v>
      </c>
      <c r="R413">
        <v>5</v>
      </c>
      <c r="S413">
        <v>79.02</v>
      </c>
    </row>
    <row r="414" spans="16:19" x14ac:dyDescent="0.35">
      <c r="P414">
        <v>5</v>
      </c>
      <c r="Q414">
        <v>133.01</v>
      </c>
      <c r="R414">
        <v>10</v>
      </c>
      <c r="S414">
        <v>665.05</v>
      </c>
    </row>
    <row r="415" spans="16:19" x14ac:dyDescent="0.35">
      <c r="P415">
        <v>1</v>
      </c>
      <c r="Q415">
        <v>118.8</v>
      </c>
      <c r="R415">
        <v>6</v>
      </c>
      <c r="S415">
        <v>118.8</v>
      </c>
    </row>
    <row r="416" spans="16:19" x14ac:dyDescent="0.35">
      <c r="P416">
        <v>2</v>
      </c>
      <c r="Q416">
        <v>139.57</v>
      </c>
      <c r="R416">
        <v>4</v>
      </c>
      <c r="S416">
        <v>279.14</v>
      </c>
    </row>
    <row r="417" spans="16:19" x14ac:dyDescent="0.35">
      <c r="P417">
        <v>1</v>
      </c>
      <c r="Q417">
        <v>184.15</v>
      </c>
      <c r="R417">
        <v>5</v>
      </c>
      <c r="S417">
        <v>184.15</v>
      </c>
    </row>
    <row r="418" spans="16:19" x14ac:dyDescent="0.35">
      <c r="P418">
        <v>2</v>
      </c>
      <c r="Q418">
        <v>644.04999999999995</v>
      </c>
      <c r="R418">
        <v>5</v>
      </c>
      <c r="S418">
        <v>1288.0999999999999</v>
      </c>
    </row>
    <row r="419" spans="16:19" x14ac:dyDescent="0.35">
      <c r="P419">
        <v>5</v>
      </c>
      <c r="Q419">
        <v>55.41</v>
      </c>
      <c r="R419">
        <v>5</v>
      </c>
      <c r="S419">
        <v>277.05</v>
      </c>
    </row>
    <row r="420" spans="16:19" x14ac:dyDescent="0.35">
      <c r="P420">
        <v>1</v>
      </c>
      <c r="Q420">
        <v>310.93</v>
      </c>
      <c r="R420">
        <v>3</v>
      </c>
      <c r="S420">
        <v>310.93</v>
      </c>
    </row>
    <row r="421" spans="16:19" x14ac:dyDescent="0.35">
      <c r="P421">
        <v>2</v>
      </c>
      <c r="Q421">
        <v>216.66</v>
      </c>
      <c r="R421">
        <v>6</v>
      </c>
      <c r="S421">
        <v>433.32</v>
      </c>
    </row>
    <row r="422" spans="16:19" x14ac:dyDescent="0.35">
      <c r="P422">
        <v>1</v>
      </c>
      <c r="Q422">
        <v>452.7</v>
      </c>
      <c r="R422">
        <v>5</v>
      </c>
      <c r="S422">
        <v>452.7</v>
      </c>
    </row>
    <row r="423" spans="16:19" x14ac:dyDescent="0.35">
      <c r="P423">
        <v>2</v>
      </c>
      <c r="Q423">
        <v>288.20999999999998</v>
      </c>
      <c r="R423">
        <v>5</v>
      </c>
      <c r="S423">
        <v>576.41999999999996</v>
      </c>
    </row>
    <row r="424" spans="16:19" x14ac:dyDescent="0.35">
      <c r="P424">
        <v>4</v>
      </c>
      <c r="Q424">
        <v>206.6</v>
      </c>
      <c r="R424">
        <v>6</v>
      </c>
      <c r="S424">
        <v>826.4</v>
      </c>
    </row>
    <row r="425" spans="16:19" x14ac:dyDescent="0.35">
      <c r="P425">
        <v>4</v>
      </c>
      <c r="Q425">
        <v>685.2</v>
      </c>
      <c r="R425">
        <v>6</v>
      </c>
      <c r="S425">
        <v>2740.8</v>
      </c>
    </row>
    <row r="426" spans="16:19" x14ac:dyDescent="0.35">
      <c r="P426">
        <v>5</v>
      </c>
      <c r="Q426">
        <v>22.94</v>
      </c>
      <c r="R426">
        <v>10</v>
      </c>
      <c r="S426">
        <v>114.7</v>
      </c>
    </row>
    <row r="427" spans="16:19" x14ac:dyDescent="0.35">
      <c r="P427">
        <v>2</v>
      </c>
      <c r="Q427">
        <v>301.88</v>
      </c>
      <c r="R427">
        <v>5</v>
      </c>
      <c r="S427">
        <v>603.76</v>
      </c>
    </row>
    <row r="428" spans="16:19" x14ac:dyDescent="0.35">
      <c r="P428">
        <v>5</v>
      </c>
      <c r="Q428">
        <v>57.45</v>
      </c>
      <c r="R428">
        <v>10</v>
      </c>
      <c r="S428">
        <v>287.25</v>
      </c>
    </row>
    <row r="429" spans="16:19" x14ac:dyDescent="0.35">
      <c r="P429">
        <v>1</v>
      </c>
      <c r="Q429">
        <v>161.24</v>
      </c>
      <c r="R429">
        <v>3</v>
      </c>
      <c r="S429">
        <v>161.24</v>
      </c>
    </row>
    <row r="430" spans="16:19" x14ac:dyDescent="0.35">
      <c r="P430">
        <v>4</v>
      </c>
      <c r="Q430">
        <v>262.58</v>
      </c>
      <c r="R430">
        <v>8</v>
      </c>
      <c r="S430">
        <v>1050.32</v>
      </c>
    </row>
    <row r="431" spans="16:19" x14ac:dyDescent="0.35">
      <c r="P431">
        <v>4</v>
      </c>
      <c r="Q431">
        <v>515.19000000000005</v>
      </c>
      <c r="R431">
        <v>9</v>
      </c>
      <c r="S431">
        <v>2060.7600000000002</v>
      </c>
    </row>
    <row r="432" spans="16:19" x14ac:dyDescent="0.35">
      <c r="P432">
        <v>1</v>
      </c>
      <c r="Q432">
        <v>450.07</v>
      </c>
      <c r="R432">
        <v>6</v>
      </c>
      <c r="S432">
        <v>450.07</v>
      </c>
    </row>
    <row r="433" spans="16:19" x14ac:dyDescent="0.35">
      <c r="P433">
        <v>1</v>
      </c>
      <c r="Q433">
        <v>52.54</v>
      </c>
      <c r="R433">
        <v>6</v>
      </c>
      <c r="S433">
        <v>52.54</v>
      </c>
    </row>
    <row r="434" spans="16:19" x14ac:dyDescent="0.35">
      <c r="P434">
        <v>2</v>
      </c>
      <c r="Q434">
        <v>424.32</v>
      </c>
      <c r="R434">
        <v>6</v>
      </c>
      <c r="S434">
        <v>848.64</v>
      </c>
    </row>
    <row r="435" spans="16:19" x14ac:dyDescent="0.35">
      <c r="P435">
        <v>3</v>
      </c>
      <c r="Q435">
        <v>631.64</v>
      </c>
      <c r="R435">
        <v>3</v>
      </c>
      <c r="S435">
        <v>1894.92</v>
      </c>
    </row>
    <row r="436" spans="16:19" x14ac:dyDescent="0.35">
      <c r="P436">
        <v>5</v>
      </c>
      <c r="Q436">
        <v>327.68</v>
      </c>
      <c r="R436">
        <v>6</v>
      </c>
      <c r="S436">
        <v>1638.4</v>
      </c>
    </row>
    <row r="437" spans="16:19" x14ac:dyDescent="0.35">
      <c r="P437">
        <v>1</v>
      </c>
      <c r="Q437">
        <v>414.47</v>
      </c>
      <c r="R437">
        <v>3</v>
      </c>
      <c r="S437">
        <v>414.47</v>
      </c>
    </row>
    <row r="438" spans="16:19" x14ac:dyDescent="0.35">
      <c r="P438">
        <v>4</v>
      </c>
      <c r="Q438">
        <v>221.33</v>
      </c>
      <c r="R438">
        <v>5</v>
      </c>
      <c r="S438">
        <v>885.32</v>
      </c>
    </row>
    <row r="439" spans="16:19" x14ac:dyDescent="0.35">
      <c r="P439">
        <v>1</v>
      </c>
      <c r="Q439">
        <v>512.39</v>
      </c>
      <c r="R439">
        <v>2</v>
      </c>
      <c r="S439">
        <v>512.39</v>
      </c>
    </row>
    <row r="440" spans="16:19" x14ac:dyDescent="0.35">
      <c r="P440">
        <v>3</v>
      </c>
      <c r="Q440">
        <v>459.34</v>
      </c>
      <c r="R440">
        <v>3</v>
      </c>
      <c r="S440">
        <v>1378.02</v>
      </c>
    </row>
    <row r="441" spans="16:19" x14ac:dyDescent="0.35">
      <c r="P441">
        <v>1</v>
      </c>
      <c r="Q441">
        <v>146.32</v>
      </c>
      <c r="R441">
        <v>4</v>
      </c>
      <c r="S441">
        <v>146.32</v>
      </c>
    </row>
    <row r="442" spans="16:19" x14ac:dyDescent="0.35">
      <c r="P442">
        <v>4</v>
      </c>
      <c r="Q442">
        <v>83.6</v>
      </c>
      <c r="R442">
        <v>4</v>
      </c>
      <c r="S442">
        <v>334.4</v>
      </c>
    </row>
    <row r="443" spans="16:19" x14ac:dyDescent="0.35">
      <c r="P443">
        <v>2</v>
      </c>
      <c r="Q443">
        <v>328.54</v>
      </c>
      <c r="R443">
        <v>6</v>
      </c>
      <c r="S443">
        <v>657.08</v>
      </c>
    </row>
    <row r="444" spans="16:19" x14ac:dyDescent="0.35">
      <c r="P444">
        <v>5</v>
      </c>
      <c r="Q444">
        <v>314.94</v>
      </c>
      <c r="R444">
        <v>8</v>
      </c>
      <c r="S444">
        <v>1574.7</v>
      </c>
    </row>
    <row r="445" spans="16:19" x14ac:dyDescent="0.35">
      <c r="P445">
        <v>2</v>
      </c>
      <c r="Q445">
        <v>69.64</v>
      </c>
      <c r="R445">
        <v>6</v>
      </c>
      <c r="S445">
        <v>139.28</v>
      </c>
    </row>
    <row r="446" spans="16:19" x14ac:dyDescent="0.35">
      <c r="P446">
        <v>1</v>
      </c>
      <c r="Q446">
        <v>135.16999999999999</v>
      </c>
      <c r="R446">
        <v>6</v>
      </c>
      <c r="S446">
        <v>135.16999999999999</v>
      </c>
    </row>
    <row r="447" spans="16:19" x14ac:dyDescent="0.35">
      <c r="P447">
        <v>1</v>
      </c>
      <c r="Q447">
        <v>487.21</v>
      </c>
      <c r="R447">
        <v>3</v>
      </c>
      <c r="S447">
        <v>487.21</v>
      </c>
    </row>
    <row r="448" spans="16:19" x14ac:dyDescent="0.35">
      <c r="P448">
        <v>5</v>
      </c>
      <c r="Q448">
        <v>509.58</v>
      </c>
      <c r="R448">
        <v>6</v>
      </c>
      <c r="S448">
        <v>2547.9</v>
      </c>
    </row>
    <row r="449" spans="16:19" x14ac:dyDescent="0.35">
      <c r="P449">
        <v>2</v>
      </c>
      <c r="Q449">
        <v>416.81</v>
      </c>
      <c r="R449">
        <v>2</v>
      </c>
      <c r="S449">
        <v>833.62</v>
      </c>
    </row>
    <row r="450" spans="16:19" x14ac:dyDescent="0.35">
      <c r="P450">
        <v>2</v>
      </c>
      <c r="Q450">
        <v>160</v>
      </c>
      <c r="R450">
        <v>4</v>
      </c>
      <c r="S450">
        <v>320</v>
      </c>
    </row>
    <row r="451" spans="16:19" x14ac:dyDescent="0.35">
      <c r="P451">
        <v>3</v>
      </c>
      <c r="Q451">
        <v>253.05</v>
      </c>
      <c r="R451">
        <v>3</v>
      </c>
      <c r="S451">
        <v>759.15000000000009</v>
      </c>
    </row>
    <row r="452" spans="16:19" x14ac:dyDescent="0.35">
      <c r="P452">
        <v>5</v>
      </c>
      <c r="Q452">
        <v>615.1</v>
      </c>
      <c r="R452">
        <v>10</v>
      </c>
      <c r="S452">
        <v>3075.5</v>
      </c>
    </row>
    <row r="453" spans="16:19" x14ac:dyDescent="0.35">
      <c r="P453">
        <v>1</v>
      </c>
      <c r="Q453">
        <v>183.18</v>
      </c>
      <c r="R453">
        <v>6</v>
      </c>
      <c r="S453">
        <v>183.18</v>
      </c>
    </row>
    <row r="454" spans="16:19" x14ac:dyDescent="0.35">
      <c r="P454">
        <v>1</v>
      </c>
      <c r="Q454">
        <v>75.78</v>
      </c>
      <c r="R454">
        <v>5</v>
      </c>
      <c r="S454">
        <v>75.78</v>
      </c>
    </row>
    <row r="455" spans="16:19" x14ac:dyDescent="0.35">
      <c r="P455">
        <v>1</v>
      </c>
      <c r="Q455">
        <v>675.57</v>
      </c>
      <c r="R455">
        <v>1</v>
      </c>
      <c r="S455">
        <v>675.57</v>
      </c>
    </row>
    <row r="456" spans="16:19" x14ac:dyDescent="0.35">
      <c r="P456">
        <v>1</v>
      </c>
      <c r="Q456">
        <v>109.29</v>
      </c>
      <c r="R456">
        <v>5</v>
      </c>
      <c r="S456">
        <v>109.29</v>
      </c>
    </row>
    <row r="457" spans="16:19" x14ac:dyDescent="0.35">
      <c r="P457">
        <v>1</v>
      </c>
      <c r="Q457">
        <v>639.83000000000004</v>
      </c>
      <c r="R457">
        <v>2</v>
      </c>
      <c r="S457">
        <v>639.83000000000004</v>
      </c>
    </row>
    <row r="458" spans="16:19" x14ac:dyDescent="0.35">
      <c r="P458">
        <v>5</v>
      </c>
      <c r="Q458">
        <v>62.81</v>
      </c>
      <c r="R458">
        <v>9</v>
      </c>
      <c r="S458">
        <v>314.05</v>
      </c>
    </row>
    <row r="459" spans="16:19" x14ac:dyDescent="0.35">
      <c r="P459">
        <v>4</v>
      </c>
      <c r="Q459">
        <v>615.83000000000004</v>
      </c>
      <c r="R459">
        <v>4</v>
      </c>
      <c r="S459">
        <v>2463.3200000000002</v>
      </c>
    </row>
    <row r="460" spans="16:19" x14ac:dyDescent="0.35">
      <c r="P460">
        <v>4</v>
      </c>
      <c r="Q460">
        <v>510.58</v>
      </c>
      <c r="R460">
        <v>7</v>
      </c>
      <c r="S460">
        <v>2042.32</v>
      </c>
    </row>
    <row r="461" spans="16:19" x14ac:dyDescent="0.35">
      <c r="P461">
        <v>1</v>
      </c>
      <c r="Q461">
        <v>334.39</v>
      </c>
      <c r="R461">
        <v>2</v>
      </c>
      <c r="S461">
        <v>334.39</v>
      </c>
    </row>
    <row r="462" spans="16:19" x14ac:dyDescent="0.35">
      <c r="P462">
        <v>1</v>
      </c>
      <c r="Q462">
        <v>144.25</v>
      </c>
      <c r="R462">
        <v>2</v>
      </c>
      <c r="S462">
        <v>144.25</v>
      </c>
    </row>
    <row r="463" spans="16:19" x14ac:dyDescent="0.35">
      <c r="P463">
        <v>1</v>
      </c>
      <c r="Q463">
        <v>401.82</v>
      </c>
      <c r="R463">
        <v>5</v>
      </c>
      <c r="S463">
        <v>401.82</v>
      </c>
    </row>
    <row r="464" spans="16:19" x14ac:dyDescent="0.35">
      <c r="P464">
        <v>1</v>
      </c>
      <c r="Q464">
        <v>252.68</v>
      </c>
      <c r="R464">
        <v>1</v>
      </c>
      <c r="S464">
        <v>252.68</v>
      </c>
    </row>
    <row r="465" spans="16:19" x14ac:dyDescent="0.35">
      <c r="P465">
        <v>5</v>
      </c>
      <c r="Q465">
        <v>662.78</v>
      </c>
      <c r="R465">
        <v>9</v>
      </c>
      <c r="S465">
        <v>3313.9</v>
      </c>
    </row>
    <row r="466" spans="16:19" x14ac:dyDescent="0.35">
      <c r="P466">
        <v>4</v>
      </c>
      <c r="Q466">
        <v>434.42</v>
      </c>
      <c r="R466">
        <v>6</v>
      </c>
      <c r="S466">
        <v>1737.68</v>
      </c>
    </row>
    <row r="467" spans="16:19" x14ac:dyDescent="0.35">
      <c r="P467">
        <v>5</v>
      </c>
      <c r="Q467">
        <v>513.49</v>
      </c>
      <c r="R467">
        <v>8</v>
      </c>
      <c r="S467">
        <v>2567.4499999999998</v>
      </c>
    </row>
    <row r="468" spans="16:19" x14ac:dyDescent="0.35">
      <c r="P468">
        <v>1</v>
      </c>
      <c r="Q468">
        <v>432.47</v>
      </c>
      <c r="R468">
        <v>4</v>
      </c>
      <c r="S468">
        <v>432.47</v>
      </c>
    </row>
    <row r="469" spans="16:19" x14ac:dyDescent="0.35">
      <c r="P469">
        <v>1</v>
      </c>
      <c r="Q469">
        <v>45.94</v>
      </c>
      <c r="R469">
        <v>2</v>
      </c>
      <c r="S469">
        <v>45.94</v>
      </c>
    </row>
    <row r="470" spans="16:19" x14ac:dyDescent="0.35">
      <c r="P470">
        <v>1</v>
      </c>
      <c r="Q470">
        <v>418.36</v>
      </c>
      <c r="R470">
        <v>5</v>
      </c>
      <c r="S470">
        <v>418.36</v>
      </c>
    </row>
    <row r="471" spans="16:19" x14ac:dyDescent="0.35">
      <c r="P471">
        <v>5</v>
      </c>
      <c r="Q471">
        <v>676.98</v>
      </c>
      <c r="R471">
        <v>5</v>
      </c>
      <c r="S471">
        <v>3384.9</v>
      </c>
    </row>
    <row r="472" spans="16:19" x14ac:dyDescent="0.35">
      <c r="P472">
        <v>4</v>
      </c>
      <c r="Q472">
        <v>263.62</v>
      </c>
      <c r="R472">
        <v>5</v>
      </c>
      <c r="S472">
        <v>1054.48</v>
      </c>
    </row>
    <row r="473" spans="16:19" x14ac:dyDescent="0.35">
      <c r="P473">
        <v>5</v>
      </c>
      <c r="Q473">
        <v>551.27</v>
      </c>
      <c r="R473">
        <v>7</v>
      </c>
      <c r="S473">
        <v>2756.35</v>
      </c>
    </row>
    <row r="474" spans="16:19" x14ac:dyDescent="0.35">
      <c r="P474">
        <v>3</v>
      </c>
      <c r="Q474">
        <v>508.12</v>
      </c>
      <c r="R474">
        <v>8</v>
      </c>
      <c r="S474">
        <v>1524.36</v>
      </c>
    </row>
    <row r="475" spans="16:19" x14ac:dyDescent="0.35">
      <c r="P475">
        <v>2</v>
      </c>
      <c r="Q475">
        <v>14.93</v>
      </c>
      <c r="R475">
        <v>4</v>
      </c>
      <c r="S475">
        <v>29.86</v>
      </c>
    </row>
    <row r="476" spans="16:19" x14ac:dyDescent="0.35">
      <c r="P476">
        <v>3</v>
      </c>
      <c r="Q476">
        <v>229.34</v>
      </c>
      <c r="R476">
        <v>6</v>
      </c>
      <c r="S476">
        <v>688.02</v>
      </c>
    </row>
    <row r="477" spans="16:19" x14ac:dyDescent="0.35">
      <c r="P477">
        <v>2</v>
      </c>
      <c r="Q477">
        <v>438.62</v>
      </c>
      <c r="R477">
        <v>3</v>
      </c>
      <c r="S477">
        <v>877.24</v>
      </c>
    </row>
    <row r="478" spans="16:19" x14ac:dyDescent="0.35">
      <c r="P478">
        <v>2</v>
      </c>
      <c r="Q478">
        <v>513.59</v>
      </c>
      <c r="R478">
        <v>4</v>
      </c>
      <c r="S478">
        <v>1027.18</v>
      </c>
    </row>
    <row r="479" spans="16:19" x14ac:dyDescent="0.35">
      <c r="P479">
        <v>2</v>
      </c>
      <c r="Q479">
        <v>253.74</v>
      </c>
      <c r="R479">
        <v>5</v>
      </c>
      <c r="S479">
        <v>507.48</v>
      </c>
    </row>
    <row r="480" spans="16:19" x14ac:dyDescent="0.35">
      <c r="P480">
        <v>3</v>
      </c>
      <c r="Q480">
        <v>62.77</v>
      </c>
      <c r="R480">
        <v>6</v>
      </c>
      <c r="S480">
        <v>188.31</v>
      </c>
    </row>
    <row r="481" spans="16:19" x14ac:dyDescent="0.35">
      <c r="P481">
        <v>4</v>
      </c>
      <c r="Q481">
        <v>25.29</v>
      </c>
      <c r="R481">
        <v>8</v>
      </c>
      <c r="S481">
        <v>101.16</v>
      </c>
    </row>
    <row r="482" spans="16:19" x14ac:dyDescent="0.35">
      <c r="P482">
        <v>1</v>
      </c>
      <c r="Q482">
        <v>335.1</v>
      </c>
      <c r="R482">
        <v>6</v>
      </c>
      <c r="S482">
        <v>335.1</v>
      </c>
    </row>
    <row r="483" spans="16:19" x14ac:dyDescent="0.35">
      <c r="P483">
        <v>4</v>
      </c>
      <c r="Q483">
        <v>484.85</v>
      </c>
      <c r="R483">
        <v>5</v>
      </c>
      <c r="S483">
        <v>1939.4</v>
      </c>
    </row>
    <row r="484" spans="16:19" x14ac:dyDescent="0.35">
      <c r="P484">
        <v>3</v>
      </c>
      <c r="Q484">
        <v>381.41</v>
      </c>
      <c r="R484">
        <v>6</v>
      </c>
      <c r="S484">
        <v>1144.23</v>
      </c>
    </row>
    <row r="485" spans="16:19" x14ac:dyDescent="0.35">
      <c r="P485">
        <v>5</v>
      </c>
      <c r="Q485">
        <v>347.92</v>
      </c>
      <c r="R485">
        <v>6</v>
      </c>
      <c r="S485">
        <v>1739.6</v>
      </c>
    </row>
    <row r="486" spans="16:19" x14ac:dyDescent="0.35">
      <c r="P486">
        <v>4</v>
      </c>
      <c r="Q486">
        <v>15.01</v>
      </c>
      <c r="R486">
        <v>6</v>
      </c>
      <c r="S486">
        <v>60.04</v>
      </c>
    </row>
    <row r="487" spans="16:19" x14ac:dyDescent="0.35">
      <c r="P487">
        <v>3</v>
      </c>
      <c r="Q487">
        <v>404.79</v>
      </c>
      <c r="R487">
        <v>6</v>
      </c>
      <c r="S487">
        <v>1214.3699999999999</v>
      </c>
    </row>
    <row r="488" spans="16:19" x14ac:dyDescent="0.35">
      <c r="P488">
        <v>4</v>
      </c>
      <c r="Q488">
        <v>611.26</v>
      </c>
      <c r="R488">
        <v>5</v>
      </c>
      <c r="S488">
        <v>2445.04</v>
      </c>
    </row>
    <row r="489" spans="16:19" x14ac:dyDescent="0.35">
      <c r="P489">
        <v>3</v>
      </c>
      <c r="Q489">
        <v>346.52</v>
      </c>
      <c r="R489">
        <v>3</v>
      </c>
      <c r="S489">
        <v>1039.56</v>
      </c>
    </row>
    <row r="490" spans="16:19" x14ac:dyDescent="0.35">
      <c r="P490">
        <v>1</v>
      </c>
      <c r="Q490">
        <v>36.65</v>
      </c>
      <c r="R490">
        <v>1</v>
      </c>
      <c r="S490">
        <v>36.65</v>
      </c>
    </row>
    <row r="491" spans="16:19" x14ac:dyDescent="0.35">
      <c r="P491">
        <v>3</v>
      </c>
      <c r="Q491">
        <v>149.34</v>
      </c>
      <c r="R491">
        <v>7</v>
      </c>
      <c r="S491">
        <v>448.02</v>
      </c>
    </row>
    <row r="492" spans="16:19" x14ac:dyDescent="0.35">
      <c r="P492">
        <v>5</v>
      </c>
      <c r="Q492">
        <v>467.81</v>
      </c>
      <c r="R492">
        <v>10</v>
      </c>
      <c r="S492">
        <v>2339.0500000000002</v>
      </c>
    </row>
    <row r="493" spans="16:19" x14ac:dyDescent="0.35">
      <c r="P493">
        <v>5</v>
      </c>
      <c r="Q493">
        <v>420.7</v>
      </c>
      <c r="R493">
        <v>5</v>
      </c>
      <c r="S493">
        <v>2103.5</v>
      </c>
    </row>
    <row r="494" spans="16:19" x14ac:dyDescent="0.35">
      <c r="P494">
        <v>5</v>
      </c>
      <c r="Q494">
        <v>606.52</v>
      </c>
      <c r="R494">
        <v>6</v>
      </c>
      <c r="S494">
        <v>3032.6</v>
      </c>
    </row>
    <row r="495" spans="16:19" x14ac:dyDescent="0.35">
      <c r="P495">
        <v>1</v>
      </c>
      <c r="Q495">
        <v>420.26</v>
      </c>
      <c r="R495">
        <v>4</v>
      </c>
      <c r="S495">
        <v>420.26</v>
      </c>
    </row>
    <row r="496" spans="16:19" x14ac:dyDescent="0.35">
      <c r="P496">
        <v>3</v>
      </c>
      <c r="Q496">
        <v>505.79</v>
      </c>
      <c r="R496">
        <v>3</v>
      </c>
      <c r="S496">
        <v>1517.37</v>
      </c>
    </row>
    <row r="497" spans="16:19" x14ac:dyDescent="0.35">
      <c r="P497">
        <v>4</v>
      </c>
      <c r="Q497">
        <v>493.73</v>
      </c>
      <c r="R497">
        <v>6</v>
      </c>
      <c r="S497">
        <v>1974.92</v>
      </c>
    </row>
    <row r="498" spans="16:19" x14ac:dyDescent="0.35">
      <c r="P498">
        <v>3</v>
      </c>
      <c r="Q498">
        <v>201.21</v>
      </c>
      <c r="R498">
        <v>3</v>
      </c>
      <c r="S498">
        <v>603.63</v>
      </c>
    </row>
    <row r="499" spans="16:19" x14ac:dyDescent="0.35">
      <c r="P499">
        <v>3</v>
      </c>
      <c r="Q499">
        <v>112.29</v>
      </c>
      <c r="R499">
        <v>6</v>
      </c>
      <c r="S499">
        <v>336.87</v>
      </c>
    </row>
    <row r="500" spans="16:19" x14ac:dyDescent="0.35">
      <c r="P500">
        <v>4</v>
      </c>
      <c r="Q500">
        <v>132.56</v>
      </c>
      <c r="R500">
        <v>8</v>
      </c>
      <c r="S500">
        <v>530.24</v>
      </c>
    </row>
    <row r="501" spans="16:19" x14ac:dyDescent="0.35">
      <c r="P501">
        <v>3</v>
      </c>
      <c r="Q501">
        <v>539.46</v>
      </c>
      <c r="R501">
        <v>4</v>
      </c>
      <c r="S501">
        <v>1618.38</v>
      </c>
    </row>
    <row r="502" spans="16:19" x14ac:dyDescent="0.35">
      <c r="P502">
        <v>5</v>
      </c>
      <c r="Q502">
        <v>508.59</v>
      </c>
      <c r="R502">
        <v>8</v>
      </c>
      <c r="S502">
        <v>2542.9499999999998</v>
      </c>
    </row>
    <row r="503" spans="16:19" x14ac:dyDescent="0.35">
      <c r="P503">
        <v>4</v>
      </c>
      <c r="Q503">
        <v>203.46</v>
      </c>
      <c r="R503">
        <v>7</v>
      </c>
      <c r="S503">
        <v>813.84</v>
      </c>
    </row>
    <row r="504" spans="16:19" x14ac:dyDescent="0.35">
      <c r="P504">
        <v>3</v>
      </c>
      <c r="Q504">
        <v>565.25</v>
      </c>
      <c r="R504">
        <v>7</v>
      </c>
      <c r="S504">
        <v>1695.75</v>
      </c>
    </row>
    <row r="505" spans="16:19" x14ac:dyDescent="0.35">
      <c r="P505">
        <v>3</v>
      </c>
      <c r="Q505">
        <v>136.84</v>
      </c>
      <c r="R505">
        <v>4</v>
      </c>
      <c r="S505">
        <v>410.52</v>
      </c>
    </row>
    <row r="506" spans="16:19" x14ac:dyDescent="0.35">
      <c r="P506">
        <v>2</v>
      </c>
      <c r="Q506">
        <v>464.5</v>
      </c>
      <c r="R506">
        <v>2</v>
      </c>
      <c r="S506">
        <v>929</v>
      </c>
    </row>
    <row r="507" spans="16:19" x14ac:dyDescent="0.35">
      <c r="P507">
        <v>2</v>
      </c>
      <c r="Q507">
        <v>434.97</v>
      </c>
      <c r="R507">
        <v>7</v>
      </c>
      <c r="S507">
        <v>869.94</v>
      </c>
    </row>
    <row r="508" spans="16:19" x14ac:dyDescent="0.35">
      <c r="P508">
        <v>2</v>
      </c>
      <c r="Q508">
        <v>43.67</v>
      </c>
      <c r="R508">
        <v>4</v>
      </c>
      <c r="S508">
        <v>87.34</v>
      </c>
    </row>
    <row r="509" spans="16:19" x14ac:dyDescent="0.35">
      <c r="P509">
        <v>1</v>
      </c>
      <c r="Q509">
        <v>171.59</v>
      </c>
      <c r="R509">
        <v>5</v>
      </c>
      <c r="S509">
        <v>171.59</v>
      </c>
    </row>
    <row r="510" spans="16:19" x14ac:dyDescent="0.35">
      <c r="P510">
        <v>1</v>
      </c>
      <c r="Q510">
        <v>558.27</v>
      </c>
      <c r="R510">
        <v>1</v>
      </c>
      <c r="S510">
        <v>558.27</v>
      </c>
    </row>
    <row r="511" spans="16:19" x14ac:dyDescent="0.35">
      <c r="P511">
        <v>2</v>
      </c>
      <c r="Q511">
        <v>425.03</v>
      </c>
      <c r="R511">
        <v>2</v>
      </c>
      <c r="S511">
        <v>850.06</v>
      </c>
    </row>
    <row r="512" spans="16:19" x14ac:dyDescent="0.35">
      <c r="P512">
        <v>1</v>
      </c>
      <c r="Q512">
        <v>376.76</v>
      </c>
      <c r="R512">
        <v>5</v>
      </c>
      <c r="S512">
        <v>376.76</v>
      </c>
    </row>
    <row r="513" spans="16:19" x14ac:dyDescent="0.35">
      <c r="P513">
        <v>5</v>
      </c>
      <c r="Q513">
        <v>575.24</v>
      </c>
      <c r="R513">
        <v>7</v>
      </c>
      <c r="S513">
        <v>2876.2</v>
      </c>
    </row>
    <row r="514" spans="16:19" x14ac:dyDescent="0.35">
      <c r="P514">
        <v>3</v>
      </c>
      <c r="Q514">
        <v>568.02</v>
      </c>
      <c r="R514">
        <v>3</v>
      </c>
      <c r="S514">
        <v>1704.06</v>
      </c>
    </row>
    <row r="515" spans="16:19" x14ac:dyDescent="0.35">
      <c r="P515">
        <v>3</v>
      </c>
      <c r="Q515">
        <v>94.88</v>
      </c>
      <c r="R515">
        <v>8</v>
      </c>
      <c r="S515">
        <v>284.64</v>
      </c>
    </row>
    <row r="516" spans="16:19" x14ac:dyDescent="0.35">
      <c r="P516">
        <v>3</v>
      </c>
      <c r="Q516">
        <v>304.14999999999998</v>
      </c>
      <c r="R516">
        <v>3</v>
      </c>
      <c r="S516">
        <v>912.44999999999993</v>
      </c>
    </row>
    <row r="517" spans="16:19" x14ac:dyDescent="0.35">
      <c r="P517">
        <v>3</v>
      </c>
      <c r="Q517">
        <v>553.52</v>
      </c>
      <c r="R517">
        <v>4</v>
      </c>
      <c r="S517">
        <v>1660.56</v>
      </c>
    </row>
    <row r="518" spans="16:19" x14ac:dyDescent="0.35">
      <c r="P518">
        <v>3</v>
      </c>
      <c r="Q518">
        <v>166.99</v>
      </c>
      <c r="R518">
        <v>8</v>
      </c>
      <c r="S518">
        <v>500.97</v>
      </c>
    </row>
    <row r="519" spans="16:19" x14ac:dyDescent="0.35">
      <c r="P519">
        <v>4</v>
      </c>
      <c r="Q519">
        <v>198.35</v>
      </c>
      <c r="R519">
        <v>7</v>
      </c>
      <c r="S519">
        <v>793.4</v>
      </c>
    </row>
    <row r="520" spans="16:19" x14ac:dyDescent="0.35">
      <c r="P520">
        <v>4</v>
      </c>
      <c r="Q520">
        <v>403.58</v>
      </c>
      <c r="R520">
        <v>9</v>
      </c>
      <c r="S520">
        <v>1614.32</v>
      </c>
    </row>
    <row r="521" spans="16:19" x14ac:dyDescent="0.35">
      <c r="P521">
        <v>4</v>
      </c>
      <c r="Q521">
        <v>464.29</v>
      </c>
      <c r="R521">
        <v>5</v>
      </c>
      <c r="S521">
        <v>1857.16</v>
      </c>
    </row>
    <row r="522" spans="16:19" x14ac:dyDescent="0.35">
      <c r="P522">
        <v>3</v>
      </c>
      <c r="Q522">
        <v>635.98</v>
      </c>
      <c r="R522">
        <v>5</v>
      </c>
      <c r="S522">
        <v>1907.94</v>
      </c>
    </row>
    <row r="523" spans="16:19" x14ac:dyDescent="0.35">
      <c r="P523">
        <v>1</v>
      </c>
      <c r="Q523">
        <v>528.05999999999995</v>
      </c>
      <c r="R523">
        <v>2</v>
      </c>
      <c r="S523">
        <v>528.05999999999995</v>
      </c>
    </row>
    <row r="524" spans="16:19" x14ac:dyDescent="0.35">
      <c r="P524">
        <v>1</v>
      </c>
      <c r="Q524">
        <v>515.32000000000005</v>
      </c>
      <c r="R524">
        <v>1</v>
      </c>
      <c r="S524">
        <v>515.32000000000005</v>
      </c>
    </row>
    <row r="525" spans="16:19" x14ac:dyDescent="0.35">
      <c r="P525">
        <v>4</v>
      </c>
      <c r="Q525">
        <v>657.79</v>
      </c>
      <c r="R525">
        <v>6</v>
      </c>
      <c r="S525">
        <v>2631.16</v>
      </c>
    </row>
    <row r="526" spans="16:19" x14ac:dyDescent="0.35">
      <c r="P526">
        <v>1</v>
      </c>
      <c r="Q526">
        <v>153</v>
      </c>
      <c r="R526">
        <v>4</v>
      </c>
      <c r="S526">
        <v>153</v>
      </c>
    </row>
    <row r="527" spans="16:19" x14ac:dyDescent="0.35">
      <c r="P527">
        <v>1</v>
      </c>
      <c r="Q527">
        <v>668.48</v>
      </c>
      <c r="R527">
        <v>1</v>
      </c>
      <c r="S527">
        <v>668.48</v>
      </c>
    </row>
    <row r="528" spans="16:19" x14ac:dyDescent="0.35">
      <c r="P528">
        <v>2</v>
      </c>
      <c r="Q528">
        <v>46.5</v>
      </c>
      <c r="R528">
        <v>7</v>
      </c>
      <c r="S528">
        <v>93</v>
      </c>
    </row>
    <row r="529" spans="16:19" x14ac:dyDescent="0.35">
      <c r="P529">
        <v>5</v>
      </c>
      <c r="Q529">
        <v>653.47</v>
      </c>
      <c r="R529">
        <v>10</v>
      </c>
      <c r="S529">
        <v>3267.35</v>
      </c>
    </row>
    <row r="530" spans="16:19" x14ac:dyDescent="0.35">
      <c r="P530">
        <v>1</v>
      </c>
      <c r="Q530">
        <v>628.89</v>
      </c>
      <c r="R530">
        <v>2</v>
      </c>
      <c r="S530">
        <v>628.89</v>
      </c>
    </row>
    <row r="531" spans="16:19" x14ac:dyDescent="0.35">
      <c r="P531">
        <v>2</v>
      </c>
      <c r="Q531">
        <v>675.1</v>
      </c>
      <c r="R531">
        <v>4</v>
      </c>
      <c r="S531">
        <v>1350.2</v>
      </c>
    </row>
    <row r="532" spans="16:19" x14ac:dyDescent="0.35">
      <c r="P532">
        <v>4</v>
      </c>
      <c r="Q532">
        <v>89.41</v>
      </c>
      <c r="R532">
        <v>9</v>
      </c>
      <c r="S532">
        <v>357.64</v>
      </c>
    </row>
    <row r="533" spans="16:19" x14ac:dyDescent="0.35">
      <c r="P533">
        <v>5</v>
      </c>
      <c r="Q533">
        <v>320.01</v>
      </c>
      <c r="R533">
        <v>6</v>
      </c>
      <c r="S533">
        <v>1600.05</v>
      </c>
    </row>
    <row r="534" spans="16:19" x14ac:dyDescent="0.35">
      <c r="P534">
        <v>2</v>
      </c>
      <c r="Q534">
        <v>41</v>
      </c>
      <c r="R534">
        <v>7</v>
      </c>
      <c r="S534">
        <v>82</v>
      </c>
    </row>
    <row r="535" spans="16:19" x14ac:dyDescent="0.35">
      <c r="P535">
        <v>1</v>
      </c>
      <c r="Q535">
        <v>565.85</v>
      </c>
      <c r="R535">
        <v>1</v>
      </c>
      <c r="S535">
        <v>565.85</v>
      </c>
    </row>
    <row r="536" spans="16:19" x14ac:dyDescent="0.35">
      <c r="P536">
        <v>3</v>
      </c>
      <c r="Q536">
        <v>648.59</v>
      </c>
      <c r="R536">
        <v>4</v>
      </c>
      <c r="S536">
        <v>1945.77</v>
      </c>
    </row>
    <row r="537" spans="16:19" x14ac:dyDescent="0.35">
      <c r="P537">
        <v>3</v>
      </c>
      <c r="Q537">
        <v>68.12</v>
      </c>
      <c r="R537">
        <v>3</v>
      </c>
      <c r="S537">
        <v>204.36</v>
      </c>
    </row>
    <row r="538" spans="16:19" x14ac:dyDescent="0.35">
      <c r="P538">
        <v>1</v>
      </c>
      <c r="Q538">
        <v>616.1</v>
      </c>
      <c r="R538">
        <v>6</v>
      </c>
      <c r="S538">
        <v>616.1</v>
      </c>
    </row>
    <row r="539" spans="16:19" x14ac:dyDescent="0.35">
      <c r="P539">
        <v>3</v>
      </c>
      <c r="Q539">
        <v>247.47</v>
      </c>
      <c r="R539">
        <v>4</v>
      </c>
      <c r="S539">
        <v>742.41</v>
      </c>
    </row>
    <row r="540" spans="16:19" x14ac:dyDescent="0.35">
      <c r="P540">
        <v>3</v>
      </c>
      <c r="Q540">
        <v>490.74</v>
      </c>
      <c r="R540">
        <v>3</v>
      </c>
      <c r="S540">
        <v>1472.22</v>
      </c>
    </row>
    <row r="541" spans="16:19" x14ac:dyDescent="0.35">
      <c r="P541">
        <v>3</v>
      </c>
      <c r="Q541">
        <v>531.72</v>
      </c>
      <c r="R541">
        <v>7</v>
      </c>
      <c r="S541">
        <v>1595.16</v>
      </c>
    </row>
    <row r="542" spans="16:19" x14ac:dyDescent="0.35">
      <c r="P542">
        <v>5</v>
      </c>
      <c r="Q542">
        <v>648.65</v>
      </c>
      <c r="R542">
        <v>7</v>
      </c>
      <c r="S542">
        <v>3243.25</v>
      </c>
    </row>
    <row r="543" spans="16:19" x14ac:dyDescent="0.35">
      <c r="P543">
        <v>5</v>
      </c>
      <c r="Q543">
        <v>456.06</v>
      </c>
      <c r="R543">
        <v>10</v>
      </c>
      <c r="S543">
        <v>2280.3000000000002</v>
      </c>
    </row>
    <row r="544" spans="16:19" x14ac:dyDescent="0.35">
      <c r="P544">
        <v>1</v>
      </c>
      <c r="Q544">
        <v>17.98</v>
      </c>
      <c r="R544">
        <v>6</v>
      </c>
      <c r="S544">
        <v>17.98</v>
      </c>
    </row>
    <row r="545" spans="16:19" x14ac:dyDescent="0.35">
      <c r="P545">
        <v>5</v>
      </c>
      <c r="Q545">
        <v>269.86</v>
      </c>
      <c r="R545">
        <v>6</v>
      </c>
      <c r="S545">
        <v>1349.3</v>
      </c>
    </row>
    <row r="546" spans="16:19" x14ac:dyDescent="0.35">
      <c r="P546">
        <v>5</v>
      </c>
      <c r="Q546">
        <v>31.96</v>
      </c>
      <c r="R546">
        <v>5</v>
      </c>
      <c r="S546">
        <v>159.80000000000001</v>
      </c>
    </row>
    <row r="547" spans="16:19" x14ac:dyDescent="0.35">
      <c r="P547">
        <v>2</v>
      </c>
      <c r="Q547">
        <v>98.47</v>
      </c>
      <c r="R547">
        <v>3</v>
      </c>
      <c r="S547">
        <v>196.94</v>
      </c>
    </row>
    <row r="548" spans="16:19" x14ac:dyDescent="0.35">
      <c r="P548">
        <v>1</v>
      </c>
      <c r="Q548">
        <v>158.68</v>
      </c>
      <c r="R548">
        <v>6</v>
      </c>
      <c r="S548">
        <v>158.68</v>
      </c>
    </row>
    <row r="549" spans="16:19" x14ac:dyDescent="0.35">
      <c r="P549">
        <v>1</v>
      </c>
      <c r="Q549">
        <v>613.98</v>
      </c>
      <c r="R549">
        <v>4</v>
      </c>
      <c r="S549">
        <v>613.98</v>
      </c>
    </row>
    <row r="550" spans="16:19" x14ac:dyDescent="0.35">
      <c r="P550">
        <v>3</v>
      </c>
      <c r="Q550">
        <v>426.12</v>
      </c>
      <c r="R550">
        <v>5</v>
      </c>
      <c r="S550">
        <v>1278.3599999999999</v>
      </c>
    </row>
    <row r="551" spans="16:19" x14ac:dyDescent="0.35">
      <c r="P551">
        <v>4</v>
      </c>
      <c r="Q551">
        <v>629.88</v>
      </c>
      <c r="R551">
        <v>8</v>
      </c>
      <c r="S551">
        <v>2519.52</v>
      </c>
    </row>
    <row r="552" spans="16:19" x14ac:dyDescent="0.35">
      <c r="P552">
        <v>4</v>
      </c>
      <c r="Q552">
        <v>228.91</v>
      </c>
      <c r="R552">
        <v>4</v>
      </c>
      <c r="S552">
        <v>915.64</v>
      </c>
    </row>
    <row r="553" spans="16:19" x14ac:dyDescent="0.35">
      <c r="P553">
        <v>1</v>
      </c>
      <c r="Q553">
        <v>120.98</v>
      </c>
      <c r="R553">
        <v>6</v>
      </c>
      <c r="S553">
        <v>120.98</v>
      </c>
    </row>
    <row r="554" spans="16:19" x14ac:dyDescent="0.35">
      <c r="P554">
        <v>4</v>
      </c>
      <c r="Q554">
        <v>425.18</v>
      </c>
      <c r="R554">
        <v>8</v>
      </c>
      <c r="S554">
        <v>1700.72</v>
      </c>
    </row>
    <row r="555" spans="16:19" x14ac:dyDescent="0.35">
      <c r="P555">
        <v>2</v>
      </c>
      <c r="Q555">
        <v>333.83</v>
      </c>
      <c r="R555">
        <v>4</v>
      </c>
      <c r="S555">
        <v>667.66</v>
      </c>
    </row>
    <row r="556" spans="16:19" x14ac:dyDescent="0.35">
      <c r="P556">
        <v>2</v>
      </c>
      <c r="Q556">
        <v>492.9</v>
      </c>
      <c r="R556">
        <v>5</v>
      </c>
      <c r="S556">
        <v>985.8</v>
      </c>
    </row>
    <row r="557" spans="16:19" x14ac:dyDescent="0.35">
      <c r="P557">
        <v>1</v>
      </c>
      <c r="Q557">
        <v>92.04</v>
      </c>
      <c r="R557">
        <v>2</v>
      </c>
      <c r="S557">
        <v>92.04</v>
      </c>
    </row>
    <row r="558" spans="16:19" x14ac:dyDescent="0.35">
      <c r="P558">
        <v>1</v>
      </c>
      <c r="Q558">
        <v>654.27</v>
      </c>
      <c r="R558">
        <v>2</v>
      </c>
      <c r="S558">
        <v>654.27</v>
      </c>
    </row>
    <row r="559" spans="16:19" x14ac:dyDescent="0.35">
      <c r="P559">
        <v>1</v>
      </c>
      <c r="Q559">
        <v>56.2</v>
      </c>
      <c r="R559">
        <v>1</v>
      </c>
      <c r="S559">
        <v>56.2</v>
      </c>
    </row>
    <row r="560" spans="16:19" x14ac:dyDescent="0.35">
      <c r="P560">
        <v>4</v>
      </c>
      <c r="Q560">
        <v>628.12</v>
      </c>
      <c r="R560">
        <v>6</v>
      </c>
      <c r="S560">
        <v>2512.48</v>
      </c>
    </row>
    <row r="561" spans="16:19" x14ac:dyDescent="0.35">
      <c r="P561">
        <v>3</v>
      </c>
      <c r="Q561">
        <v>157.4</v>
      </c>
      <c r="R561">
        <v>7</v>
      </c>
      <c r="S561">
        <v>472.2</v>
      </c>
    </row>
    <row r="562" spans="16:19" x14ac:dyDescent="0.35">
      <c r="P562">
        <v>4</v>
      </c>
      <c r="Q562">
        <v>588.85</v>
      </c>
      <c r="R562">
        <v>7</v>
      </c>
      <c r="S562">
        <v>2355.4</v>
      </c>
    </row>
    <row r="563" spans="16:19" x14ac:dyDescent="0.35">
      <c r="P563">
        <v>2</v>
      </c>
      <c r="Q563">
        <v>494.78</v>
      </c>
      <c r="R563">
        <v>2</v>
      </c>
      <c r="S563">
        <v>989.56</v>
      </c>
    </row>
    <row r="564" spans="16:19" x14ac:dyDescent="0.35">
      <c r="P564">
        <v>3</v>
      </c>
      <c r="Q564">
        <v>663.93</v>
      </c>
      <c r="R564">
        <v>6</v>
      </c>
      <c r="S564">
        <v>1991.79</v>
      </c>
    </row>
    <row r="565" spans="16:19" x14ac:dyDescent="0.35">
      <c r="P565">
        <v>1</v>
      </c>
      <c r="Q565">
        <v>132.68</v>
      </c>
      <c r="R565">
        <v>1</v>
      </c>
      <c r="S565">
        <v>132.68</v>
      </c>
    </row>
    <row r="566" spans="16:19" x14ac:dyDescent="0.35">
      <c r="P566">
        <v>5</v>
      </c>
      <c r="Q566">
        <v>364.28</v>
      </c>
      <c r="R566">
        <v>5</v>
      </c>
      <c r="S566">
        <v>1821.4</v>
      </c>
    </row>
    <row r="567" spans="16:19" x14ac:dyDescent="0.35">
      <c r="P567">
        <v>5</v>
      </c>
      <c r="Q567">
        <v>307.98</v>
      </c>
      <c r="R567">
        <v>10</v>
      </c>
      <c r="S567">
        <v>1539.9</v>
      </c>
    </row>
    <row r="568" spans="16:19" x14ac:dyDescent="0.35">
      <c r="P568">
        <v>4</v>
      </c>
      <c r="Q568">
        <v>162.71</v>
      </c>
      <c r="R568">
        <v>7</v>
      </c>
      <c r="S568">
        <v>650.84</v>
      </c>
    </row>
    <row r="569" spans="16:19" x14ac:dyDescent="0.35">
      <c r="P569">
        <v>5</v>
      </c>
      <c r="Q569">
        <v>492.94</v>
      </c>
      <c r="R569">
        <v>10</v>
      </c>
      <c r="S569">
        <v>2464.6999999999998</v>
      </c>
    </row>
    <row r="570" spans="16:19" x14ac:dyDescent="0.35">
      <c r="P570">
        <v>2</v>
      </c>
      <c r="Q570">
        <v>343.99</v>
      </c>
      <c r="R570">
        <v>4</v>
      </c>
      <c r="S570">
        <v>687.98</v>
      </c>
    </row>
    <row r="571" spans="16:19" x14ac:dyDescent="0.35">
      <c r="P571">
        <v>5</v>
      </c>
      <c r="Q571">
        <v>250.68</v>
      </c>
      <c r="R571">
        <v>8</v>
      </c>
      <c r="S571">
        <v>1253.4000000000001</v>
      </c>
    </row>
    <row r="572" spans="16:19" x14ac:dyDescent="0.35">
      <c r="P572">
        <v>2</v>
      </c>
      <c r="Q572">
        <v>362.14</v>
      </c>
      <c r="R572">
        <v>2</v>
      </c>
      <c r="S572">
        <v>724.28</v>
      </c>
    </row>
    <row r="573" spans="16:19" x14ac:dyDescent="0.35">
      <c r="P573">
        <v>1</v>
      </c>
      <c r="Q573">
        <v>214.08</v>
      </c>
      <c r="R573">
        <v>2</v>
      </c>
      <c r="S573">
        <v>214.08</v>
      </c>
    </row>
    <row r="574" spans="16:19" x14ac:dyDescent="0.35">
      <c r="P574">
        <v>1</v>
      </c>
      <c r="Q574">
        <v>70.319999999999993</v>
      </c>
      <c r="R574">
        <v>4</v>
      </c>
      <c r="S574">
        <v>70.319999999999993</v>
      </c>
    </row>
    <row r="575" spans="16:19" x14ac:dyDescent="0.35">
      <c r="P575">
        <v>5</v>
      </c>
      <c r="Q575">
        <v>421.42</v>
      </c>
      <c r="R575">
        <v>7</v>
      </c>
      <c r="S575">
        <v>2107.1</v>
      </c>
    </row>
    <row r="576" spans="16:19" x14ac:dyDescent="0.35">
      <c r="P576">
        <v>5</v>
      </c>
      <c r="Q576">
        <v>384.69</v>
      </c>
      <c r="R576">
        <v>6</v>
      </c>
      <c r="S576">
        <v>1923.45</v>
      </c>
    </row>
    <row r="577" spans="16:19" x14ac:dyDescent="0.35">
      <c r="P577">
        <v>5</v>
      </c>
      <c r="Q577">
        <v>448.15</v>
      </c>
      <c r="R577">
        <v>7</v>
      </c>
      <c r="S577">
        <v>2240.75</v>
      </c>
    </row>
    <row r="578" spans="16:19" x14ac:dyDescent="0.35">
      <c r="P578">
        <v>5</v>
      </c>
      <c r="Q578">
        <v>79.08</v>
      </c>
      <c r="R578">
        <v>8</v>
      </c>
      <c r="S578">
        <v>395.4</v>
      </c>
    </row>
    <row r="579" spans="16:19" x14ac:dyDescent="0.35">
      <c r="P579">
        <v>4</v>
      </c>
      <c r="Q579">
        <v>185.41</v>
      </c>
      <c r="R579">
        <v>9</v>
      </c>
      <c r="S579">
        <v>741.64</v>
      </c>
    </row>
    <row r="580" spans="16:19" x14ac:dyDescent="0.35">
      <c r="P580">
        <v>5</v>
      </c>
      <c r="Q580">
        <v>566.07000000000005</v>
      </c>
      <c r="R580">
        <v>6</v>
      </c>
      <c r="S580">
        <v>2830.35</v>
      </c>
    </row>
    <row r="581" spans="16:19" x14ac:dyDescent="0.35">
      <c r="P581">
        <v>2</v>
      </c>
      <c r="Q581">
        <v>187.88</v>
      </c>
      <c r="R581">
        <v>4</v>
      </c>
      <c r="S581">
        <v>375.76</v>
      </c>
    </row>
    <row r="582" spans="16:19" x14ac:dyDescent="0.35">
      <c r="P582">
        <v>2</v>
      </c>
      <c r="Q582">
        <v>255.99</v>
      </c>
      <c r="R582">
        <v>4</v>
      </c>
      <c r="S582">
        <v>511.98</v>
      </c>
    </row>
    <row r="583" spans="16:19" x14ac:dyDescent="0.35">
      <c r="P583">
        <v>1</v>
      </c>
      <c r="Q583">
        <v>627.34</v>
      </c>
      <c r="R583">
        <v>1</v>
      </c>
      <c r="S583">
        <v>627.34</v>
      </c>
    </row>
    <row r="584" spans="16:19" x14ac:dyDescent="0.35">
      <c r="P584">
        <v>3</v>
      </c>
      <c r="Q584">
        <v>474.14</v>
      </c>
      <c r="R584">
        <v>8</v>
      </c>
      <c r="S584">
        <v>1422.42</v>
      </c>
    </row>
    <row r="585" spans="16:19" x14ac:dyDescent="0.35">
      <c r="P585">
        <v>3</v>
      </c>
      <c r="Q585">
        <v>154.37</v>
      </c>
      <c r="R585">
        <v>4</v>
      </c>
      <c r="S585">
        <v>463.11</v>
      </c>
    </row>
    <row r="586" spans="16:19" x14ac:dyDescent="0.35">
      <c r="P586">
        <v>4</v>
      </c>
      <c r="Q586">
        <v>145.05000000000001</v>
      </c>
      <c r="R586">
        <v>6</v>
      </c>
      <c r="S586">
        <v>580.20000000000005</v>
      </c>
    </row>
    <row r="587" spans="16:19" x14ac:dyDescent="0.35">
      <c r="P587">
        <v>4</v>
      </c>
      <c r="Q587">
        <v>67.08</v>
      </c>
      <c r="R587">
        <v>8</v>
      </c>
      <c r="S587">
        <v>268.32</v>
      </c>
    </row>
    <row r="588" spans="16:19" x14ac:dyDescent="0.35">
      <c r="P588">
        <v>1</v>
      </c>
      <c r="Q588">
        <v>522.08000000000004</v>
      </c>
      <c r="R588">
        <v>5</v>
      </c>
      <c r="S588">
        <v>522.08000000000004</v>
      </c>
    </row>
    <row r="589" spans="16:19" x14ac:dyDescent="0.35">
      <c r="P589">
        <v>5</v>
      </c>
      <c r="Q589">
        <v>514.6</v>
      </c>
      <c r="R589">
        <v>10</v>
      </c>
      <c r="S589">
        <v>2573</v>
      </c>
    </row>
    <row r="590" spans="16:19" x14ac:dyDescent="0.35">
      <c r="P590">
        <v>4</v>
      </c>
      <c r="Q590">
        <v>577.82000000000005</v>
      </c>
      <c r="R590">
        <v>9</v>
      </c>
      <c r="S590">
        <v>2311.2800000000002</v>
      </c>
    </row>
    <row r="591" spans="16:19" x14ac:dyDescent="0.35">
      <c r="P591">
        <v>2</v>
      </c>
      <c r="Q591">
        <v>500.8</v>
      </c>
      <c r="R591">
        <v>3</v>
      </c>
      <c r="S591">
        <v>1001.6</v>
      </c>
    </row>
    <row r="592" spans="16:19" x14ac:dyDescent="0.35">
      <c r="P592">
        <v>2</v>
      </c>
      <c r="Q592">
        <v>461.13</v>
      </c>
      <c r="R592">
        <v>4</v>
      </c>
      <c r="S592">
        <v>922.26</v>
      </c>
    </row>
    <row r="593" spans="16:19" x14ac:dyDescent="0.35">
      <c r="P593">
        <v>1</v>
      </c>
      <c r="Q593">
        <v>605.28</v>
      </c>
      <c r="R593">
        <v>3</v>
      </c>
      <c r="S593">
        <v>605.28</v>
      </c>
    </row>
    <row r="594" spans="16:19" x14ac:dyDescent="0.35">
      <c r="P594">
        <v>3</v>
      </c>
      <c r="Q594">
        <v>204.27</v>
      </c>
      <c r="R594">
        <v>4</v>
      </c>
      <c r="S594">
        <v>612.81000000000006</v>
      </c>
    </row>
    <row r="595" spans="16:19" x14ac:dyDescent="0.35">
      <c r="P595">
        <v>1</v>
      </c>
      <c r="Q595">
        <v>489.8</v>
      </c>
      <c r="R595">
        <v>4</v>
      </c>
      <c r="S595">
        <v>489.8</v>
      </c>
    </row>
    <row r="596" spans="16:19" x14ac:dyDescent="0.35">
      <c r="P596">
        <v>5</v>
      </c>
      <c r="Q596">
        <v>72.64</v>
      </c>
      <c r="R596">
        <v>7</v>
      </c>
      <c r="S596">
        <v>363.2</v>
      </c>
    </row>
    <row r="597" spans="16:19" x14ac:dyDescent="0.35">
      <c r="P597">
        <v>2</v>
      </c>
      <c r="Q597">
        <v>385.16</v>
      </c>
      <c r="R597">
        <v>7</v>
      </c>
      <c r="S597">
        <v>770.32</v>
      </c>
    </row>
    <row r="598" spans="16:19" x14ac:dyDescent="0.35">
      <c r="P598">
        <v>3</v>
      </c>
      <c r="Q598">
        <v>606.41</v>
      </c>
      <c r="R598">
        <v>7</v>
      </c>
      <c r="S598">
        <v>1819.23</v>
      </c>
    </row>
    <row r="599" spans="16:19" x14ac:dyDescent="0.35">
      <c r="P599">
        <v>2</v>
      </c>
      <c r="Q599">
        <v>211.82</v>
      </c>
      <c r="R599">
        <v>4</v>
      </c>
      <c r="S599">
        <v>423.64</v>
      </c>
    </row>
    <row r="600" spans="16:19" x14ac:dyDescent="0.35">
      <c r="P600">
        <v>5</v>
      </c>
      <c r="Q600">
        <v>495.35</v>
      </c>
      <c r="R600">
        <v>5</v>
      </c>
      <c r="S600">
        <v>2476.75</v>
      </c>
    </row>
    <row r="601" spans="16:19" x14ac:dyDescent="0.35">
      <c r="P601">
        <v>3</v>
      </c>
      <c r="Q601">
        <v>556.99</v>
      </c>
      <c r="R601">
        <v>4</v>
      </c>
      <c r="S601">
        <v>1670.97</v>
      </c>
    </row>
    <row r="602" spans="16:19" x14ac:dyDescent="0.35">
      <c r="P602">
        <v>1</v>
      </c>
      <c r="Q602">
        <v>72.31</v>
      </c>
      <c r="R602">
        <v>1</v>
      </c>
      <c r="S602">
        <v>72.31</v>
      </c>
    </row>
    <row r="603" spans="16:19" x14ac:dyDescent="0.35">
      <c r="P603">
        <v>5</v>
      </c>
      <c r="Q603">
        <v>24.82</v>
      </c>
      <c r="R603">
        <v>10</v>
      </c>
      <c r="S603">
        <v>124.1</v>
      </c>
    </row>
    <row r="604" spans="16:19" x14ac:dyDescent="0.35">
      <c r="P604">
        <v>4</v>
      </c>
      <c r="Q604">
        <v>26.04</v>
      </c>
      <c r="R604">
        <v>5</v>
      </c>
      <c r="S604">
        <v>104.16</v>
      </c>
    </row>
    <row r="605" spans="16:19" x14ac:dyDescent="0.35">
      <c r="P605">
        <v>1</v>
      </c>
      <c r="Q605">
        <v>657.07</v>
      </c>
      <c r="R605">
        <v>4</v>
      </c>
      <c r="S605">
        <v>657.07</v>
      </c>
    </row>
    <row r="606" spans="16:19" x14ac:dyDescent="0.35">
      <c r="P606">
        <v>3</v>
      </c>
      <c r="Q606">
        <v>32.619999999999997</v>
      </c>
      <c r="R606">
        <v>6</v>
      </c>
      <c r="S606">
        <v>97.859999999999985</v>
      </c>
    </row>
    <row r="607" spans="16:19" x14ac:dyDescent="0.35">
      <c r="P607">
        <v>2</v>
      </c>
      <c r="Q607">
        <v>228.91</v>
      </c>
      <c r="R607">
        <v>4</v>
      </c>
      <c r="S607">
        <v>457.82</v>
      </c>
    </row>
    <row r="608" spans="16:19" x14ac:dyDescent="0.35">
      <c r="P608">
        <v>3</v>
      </c>
      <c r="Q608">
        <v>274.75</v>
      </c>
      <c r="R608">
        <v>3</v>
      </c>
      <c r="S608">
        <v>824.25</v>
      </c>
    </row>
    <row r="609" spans="16:19" x14ac:dyDescent="0.35">
      <c r="P609">
        <v>4</v>
      </c>
      <c r="Q609">
        <v>634.04999999999995</v>
      </c>
      <c r="R609">
        <v>6</v>
      </c>
      <c r="S609">
        <v>2536.1999999999998</v>
      </c>
    </row>
    <row r="610" spans="16:19" x14ac:dyDescent="0.35">
      <c r="P610">
        <v>5</v>
      </c>
      <c r="Q610">
        <v>543.16</v>
      </c>
      <c r="R610">
        <v>6</v>
      </c>
      <c r="S610">
        <v>2715.8</v>
      </c>
    </row>
    <row r="611" spans="16:19" x14ac:dyDescent="0.35">
      <c r="P611">
        <v>3</v>
      </c>
      <c r="Q611">
        <v>449.13</v>
      </c>
      <c r="R611">
        <v>5</v>
      </c>
      <c r="S611">
        <v>1347.39</v>
      </c>
    </row>
    <row r="612" spans="16:19" x14ac:dyDescent="0.35">
      <c r="P612">
        <v>5</v>
      </c>
      <c r="Q612">
        <v>389.62</v>
      </c>
      <c r="R612">
        <v>7</v>
      </c>
      <c r="S612">
        <v>1948.1</v>
      </c>
    </row>
    <row r="613" spans="16:19" x14ac:dyDescent="0.35">
      <c r="P613">
        <v>1</v>
      </c>
      <c r="Q613">
        <v>305.17</v>
      </c>
      <c r="R613">
        <v>3</v>
      </c>
      <c r="S613">
        <v>305.17</v>
      </c>
    </row>
    <row r="614" spans="16:19" x14ac:dyDescent="0.35">
      <c r="P614">
        <v>3</v>
      </c>
      <c r="Q614">
        <v>445.12</v>
      </c>
      <c r="R614">
        <v>8</v>
      </c>
      <c r="S614">
        <v>1335.36</v>
      </c>
    </row>
    <row r="615" spans="16:19" x14ac:dyDescent="0.35">
      <c r="P615">
        <v>2</v>
      </c>
      <c r="Q615">
        <v>230.36</v>
      </c>
      <c r="R615">
        <v>4</v>
      </c>
      <c r="S615">
        <v>460.72</v>
      </c>
    </row>
    <row r="616" spans="16:19" x14ac:dyDescent="0.35">
      <c r="P616">
        <v>1</v>
      </c>
      <c r="Q616">
        <v>96.81</v>
      </c>
      <c r="R616">
        <v>3</v>
      </c>
      <c r="S616">
        <v>96.81</v>
      </c>
    </row>
    <row r="617" spans="16:19" x14ac:dyDescent="0.35">
      <c r="P617">
        <v>5</v>
      </c>
      <c r="Q617">
        <v>460.14</v>
      </c>
      <c r="R617">
        <v>10</v>
      </c>
      <c r="S617">
        <v>2300.6999999999998</v>
      </c>
    </row>
    <row r="618" spans="16:19" x14ac:dyDescent="0.35">
      <c r="P618">
        <v>3</v>
      </c>
      <c r="Q618">
        <v>601.6</v>
      </c>
      <c r="R618">
        <v>7</v>
      </c>
      <c r="S618">
        <v>1804.8</v>
      </c>
    </row>
    <row r="619" spans="16:19" x14ac:dyDescent="0.35">
      <c r="P619">
        <v>3</v>
      </c>
      <c r="Q619">
        <v>184.47</v>
      </c>
      <c r="R619">
        <v>4</v>
      </c>
      <c r="S619">
        <v>553.41</v>
      </c>
    </row>
    <row r="620" spans="16:19" x14ac:dyDescent="0.35">
      <c r="P620">
        <v>1</v>
      </c>
      <c r="Q620">
        <v>411.34</v>
      </c>
      <c r="R620">
        <v>5</v>
      </c>
      <c r="S620">
        <v>411.34</v>
      </c>
    </row>
    <row r="621" spans="16:19" x14ac:dyDescent="0.35">
      <c r="P621">
        <v>1</v>
      </c>
      <c r="Q621">
        <v>532.89</v>
      </c>
      <c r="R621">
        <v>2</v>
      </c>
      <c r="S621">
        <v>532.89</v>
      </c>
    </row>
    <row r="622" spans="16:19" x14ac:dyDescent="0.35">
      <c r="P622">
        <v>3</v>
      </c>
      <c r="Q622">
        <v>136.34</v>
      </c>
      <c r="R622">
        <v>8</v>
      </c>
      <c r="S622">
        <v>409.02</v>
      </c>
    </row>
    <row r="623" spans="16:19" x14ac:dyDescent="0.35">
      <c r="P623">
        <v>5</v>
      </c>
      <c r="Q623">
        <v>476.01</v>
      </c>
      <c r="R623">
        <v>7</v>
      </c>
      <c r="S623">
        <v>2380.0500000000002</v>
      </c>
    </row>
    <row r="624" spans="16:19" x14ac:dyDescent="0.35">
      <c r="P624">
        <v>5</v>
      </c>
      <c r="Q624">
        <v>236.38</v>
      </c>
      <c r="R624">
        <v>7</v>
      </c>
      <c r="S624">
        <v>1181.9000000000001</v>
      </c>
    </row>
    <row r="625" spans="16:19" x14ac:dyDescent="0.35">
      <c r="P625">
        <v>3</v>
      </c>
      <c r="Q625">
        <v>396</v>
      </c>
      <c r="R625">
        <v>4</v>
      </c>
      <c r="S625">
        <v>1188</v>
      </c>
    </row>
    <row r="626" spans="16:19" x14ac:dyDescent="0.35">
      <c r="P626">
        <v>5</v>
      </c>
      <c r="Q626">
        <v>341.96</v>
      </c>
      <c r="R626">
        <v>6</v>
      </c>
      <c r="S626">
        <v>1709.8</v>
      </c>
    </row>
    <row r="627" spans="16:19" x14ac:dyDescent="0.35">
      <c r="P627">
        <v>1</v>
      </c>
      <c r="Q627">
        <v>672.89</v>
      </c>
      <c r="R627">
        <v>1</v>
      </c>
      <c r="S627">
        <v>672.89</v>
      </c>
    </row>
    <row r="628" spans="16:19" x14ac:dyDescent="0.35">
      <c r="P628">
        <v>2</v>
      </c>
      <c r="Q628">
        <v>657.48</v>
      </c>
      <c r="R628">
        <v>5</v>
      </c>
      <c r="S628">
        <v>1314.96</v>
      </c>
    </row>
    <row r="629" spans="16:19" x14ac:dyDescent="0.35">
      <c r="P629">
        <v>3</v>
      </c>
      <c r="Q629">
        <v>498.68</v>
      </c>
      <c r="R629">
        <v>4</v>
      </c>
      <c r="S629">
        <v>1496.04</v>
      </c>
    </row>
    <row r="630" spans="16:19" x14ac:dyDescent="0.35">
      <c r="P630">
        <v>5</v>
      </c>
      <c r="Q630">
        <v>558.63</v>
      </c>
      <c r="R630">
        <v>8</v>
      </c>
      <c r="S630">
        <v>2793.15</v>
      </c>
    </row>
    <row r="631" spans="16:19" x14ac:dyDescent="0.35">
      <c r="P631">
        <v>3</v>
      </c>
      <c r="Q631">
        <v>19.73</v>
      </c>
      <c r="R631">
        <v>3</v>
      </c>
      <c r="S631">
        <v>59.19</v>
      </c>
    </row>
    <row r="632" spans="16:19" x14ac:dyDescent="0.35">
      <c r="P632">
        <v>5</v>
      </c>
      <c r="Q632">
        <v>248.84</v>
      </c>
      <c r="R632">
        <v>10</v>
      </c>
      <c r="S632">
        <v>1244.2</v>
      </c>
    </row>
    <row r="633" spans="16:19" x14ac:dyDescent="0.35">
      <c r="P633">
        <v>3</v>
      </c>
      <c r="Q633">
        <v>46.11</v>
      </c>
      <c r="R633">
        <v>5</v>
      </c>
      <c r="S633">
        <v>138.33000000000001</v>
      </c>
    </row>
    <row r="634" spans="16:19" x14ac:dyDescent="0.35">
      <c r="P634">
        <v>5</v>
      </c>
      <c r="Q634">
        <v>678.16</v>
      </c>
      <c r="R634">
        <v>7</v>
      </c>
      <c r="S634">
        <v>3390.8</v>
      </c>
    </row>
    <row r="635" spans="16:19" x14ac:dyDescent="0.35">
      <c r="P635">
        <v>5</v>
      </c>
      <c r="Q635">
        <v>601.72</v>
      </c>
      <c r="R635">
        <v>5</v>
      </c>
      <c r="S635">
        <v>3008.6</v>
      </c>
    </row>
    <row r="636" spans="16:19" x14ac:dyDescent="0.35">
      <c r="P636">
        <v>2</v>
      </c>
      <c r="Q636">
        <v>259.32</v>
      </c>
      <c r="R636">
        <v>2</v>
      </c>
      <c r="S636">
        <v>518.64</v>
      </c>
    </row>
    <row r="637" spans="16:19" x14ac:dyDescent="0.35">
      <c r="P637">
        <v>3</v>
      </c>
      <c r="Q637">
        <v>63.68</v>
      </c>
      <c r="R637">
        <v>6</v>
      </c>
      <c r="S637">
        <v>191.04</v>
      </c>
    </row>
    <row r="638" spans="16:19" x14ac:dyDescent="0.35">
      <c r="P638">
        <v>4</v>
      </c>
      <c r="Q638">
        <v>371.07</v>
      </c>
      <c r="R638">
        <v>7</v>
      </c>
      <c r="S638">
        <v>1484.28</v>
      </c>
    </row>
    <row r="639" spans="16:19" x14ac:dyDescent="0.35">
      <c r="P639">
        <v>4</v>
      </c>
      <c r="Q639">
        <v>306.35000000000002</v>
      </c>
      <c r="R639">
        <v>7</v>
      </c>
      <c r="S639">
        <v>1225.4000000000001</v>
      </c>
    </row>
    <row r="640" spans="16:19" x14ac:dyDescent="0.35">
      <c r="P640">
        <v>4</v>
      </c>
      <c r="Q640">
        <v>578.27</v>
      </c>
      <c r="R640">
        <v>9</v>
      </c>
      <c r="S640">
        <v>2313.08</v>
      </c>
    </row>
    <row r="641" spans="16:19" x14ac:dyDescent="0.35">
      <c r="P641">
        <v>1</v>
      </c>
      <c r="Q641">
        <v>529.19000000000005</v>
      </c>
      <c r="R641">
        <v>5</v>
      </c>
      <c r="S641">
        <v>529.19000000000005</v>
      </c>
    </row>
    <row r="642" spans="16:19" x14ac:dyDescent="0.35">
      <c r="P642">
        <v>2</v>
      </c>
      <c r="Q642">
        <v>587.49</v>
      </c>
      <c r="R642">
        <v>6</v>
      </c>
      <c r="S642">
        <v>1174.98</v>
      </c>
    </row>
    <row r="643" spans="16:19" x14ac:dyDescent="0.35">
      <c r="P643">
        <v>4</v>
      </c>
      <c r="Q643">
        <v>567.57000000000005</v>
      </c>
      <c r="R643">
        <v>9</v>
      </c>
      <c r="S643">
        <v>2270.2800000000002</v>
      </c>
    </row>
    <row r="644" spans="16:19" x14ac:dyDescent="0.35">
      <c r="P644">
        <v>5</v>
      </c>
      <c r="Q644">
        <v>85.22</v>
      </c>
      <c r="R644">
        <v>7</v>
      </c>
      <c r="S644">
        <v>426.1</v>
      </c>
    </row>
    <row r="645" spans="16:19" x14ac:dyDescent="0.35">
      <c r="P645">
        <v>1</v>
      </c>
      <c r="Q645">
        <v>438.37</v>
      </c>
      <c r="R645">
        <v>4</v>
      </c>
      <c r="S645">
        <v>438.37</v>
      </c>
    </row>
    <row r="646" spans="16:19" x14ac:dyDescent="0.35">
      <c r="P646">
        <v>2</v>
      </c>
      <c r="Q646">
        <v>366.23</v>
      </c>
      <c r="R646">
        <v>2</v>
      </c>
      <c r="S646">
        <v>732.46</v>
      </c>
    </row>
    <row r="647" spans="16:19" x14ac:dyDescent="0.35">
      <c r="P647">
        <v>2</v>
      </c>
      <c r="Q647">
        <v>150.05000000000001</v>
      </c>
      <c r="R647">
        <v>4</v>
      </c>
      <c r="S647">
        <v>300.10000000000002</v>
      </c>
    </row>
    <row r="648" spans="16:19" x14ac:dyDescent="0.35">
      <c r="P648">
        <v>4</v>
      </c>
      <c r="Q648">
        <v>498.51</v>
      </c>
      <c r="R648">
        <v>4</v>
      </c>
      <c r="S648">
        <v>1994.04</v>
      </c>
    </row>
    <row r="649" spans="16:19" x14ac:dyDescent="0.35">
      <c r="P649">
        <v>3</v>
      </c>
      <c r="Q649">
        <v>339.39</v>
      </c>
      <c r="R649">
        <v>7</v>
      </c>
      <c r="S649">
        <v>1018.17</v>
      </c>
    </row>
    <row r="650" spans="16:19" x14ac:dyDescent="0.35">
      <c r="P650">
        <v>2</v>
      </c>
      <c r="Q650">
        <v>575.83000000000004</v>
      </c>
      <c r="R650">
        <v>3</v>
      </c>
      <c r="S650">
        <v>1151.6600000000001</v>
      </c>
    </row>
    <row r="651" spans="16:19" x14ac:dyDescent="0.35">
      <c r="P651">
        <v>2</v>
      </c>
      <c r="Q651">
        <v>642.98</v>
      </c>
      <c r="R651">
        <v>7</v>
      </c>
      <c r="S651">
        <v>1285.96</v>
      </c>
    </row>
    <row r="652" spans="16:19" x14ac:dyDescent="0.35">
      <c r="P652">
        <v>2</v>
      </c>
      <c r="Q652">
        <v>372.23</v>
      </c>
      <c r="R652">
        <v>7</v>
      </c>
      <c r="S652">
        <v>744.46</v>
      </c>
    </row>
    <row r="653" spans="16:19" x14ac:dyDescent="0.35">
      <c r="P653">
        <v>3</v>
      </c>
      <c r="Q653">
        <v>646.34</v>
      </c>
      <c r="R653">
        <v>5</v>
      </c>
      <c r="S653">
        <v>1939.02</v>
      </c>
    </row>
    <row r="654" spans="16:19" x14ac:dyDescent="0.35">
      <c r="P654">
        <v>5</v>
      </c>
      <c r="Q654">
        <v>341.84</v>
      </c>
      <c r="R654">
        <v>8</v>
      </c>
      <c r="S654">
        <v>1709.2</v>
      </c>
    </row>
    <row r="655" spans="16:19" x14ac:dyDescent="0.35">
      <c r="P655">
        <v>3</v>
      </c>
      <c r="Q655">
        <v>690.3</v>
      </c>
      <c r="R655">
        <v>6</v>
      </c>
      <c r="S655">
        <v>2070.9</v>
      </c>
    </row>
    <row r="656" spans="16:19" x14ac:dyDescent="0.35">
      <c r="P656">
        <v>3</v>
      </c>
      <c r="Q656">
        <v>382.37</v>
      </c>
      <c r="R656">
        <v>8</v>
      </c>
      <c r="S656">
        <v>1147.1099999999999</v>
      </c>
    </row>
    <row r="657" spans="16:19" x14ac:dyDescent="0.35">
      <c r="P657">
        <v>2</v>
      </c>
      <c r="Q657">
        <v>132.6</v>
      </c>
      <c r="R657">
        <v>4</v>
      </c>
      <c r="S657">
        <v>265.2</v>
      </c>
    </row>
    <row r="658" spans="16:19" x14ac:dyDescent="0.35">
      <c r="P658">
        <v>2</v>
      </c>
      <c r="Q658">
        <v>189.06</v>
      </c>
      <c r="R658">
        <v>7</v>
      </c>
      <c r="S658">
        <v>378.12</v>
      </c>
    </row>
    <row r="659" spans="16:19" x14ac:dyDescent="0.35">
      <c r="P659">
        <v>4</v>
      </c>
      <c r="Q659">
        <v>87.79</v>
      </c>
      <c r="R659">
        <v>6</v>
      </c>
      <c r="S659">
        <v>351.16</v>
      </c>
    </row>
    <row r="660" spans="16:19" x14ac:dyDescent="0.35">
      <c r="P660">
        <v>2</v>
      </c>
      <c r="Q660">
        <v>46.36</v>
      </c>
      <c r="R660">
        <v>4</v>
      </c>
      <c r="S660">
        <v>92.72</v>
      </c>
    </row>
    <row r="661" spans="16:19" x14ac:dyDescent="0.35">
      <c r="P661">
        <v>2</v>
      </c>
      <c r="Q661">
        <v>642.04</v>
      </c>
      <c r="R661">
        <v>4</v>
      </c>
      <c r="S661">
        <v>1284.08</v>
      </c>
    </row>
    <row r="662" spans="16:19" x14ac:dyDescent="0.35">
      <c r="P662">
        <v>2</v>
      </c>
      <c r="Q662">
        <v>651.57000000000005</v>
      </c>
      <c r="R662">
        <v>7</v>
      </c>
      <c r="S662">
        <v>1303.1400000000001</v>
      </c>
    </row>
    <row r="663" spans="16:19" x14ac:dyDescent="0.35">
      <c r="P663">
        <v>3</v>
      </c>
      <c r="Q663">
        <v>424.89</v>
      </c>
      <c r="R663">
        <v>6</v>
      </c>
      <c r="S663">
        <v>1274.67</v>
      </c>
    </row>
    <row r="664" spans="16:19" x14ac:dyDescent="0.35">
      <c r="P664">
        <v>3</v>
      </c>
      <c r="Q664">
        <v>438.89</v>
      </c>
      <c r="R664">
        <v>3</v>
      </c>
      <c r="S664">
        <v>1316.67</v>
      </c>
    </row>
    <row r="665" spans="16:19" x14ac:dyDescent="0.35">
      <c r="P665">
        <v>1</v>
      </c>
      <c r="Q665">
        <v>72.599999999999994</v>
      </c>
      <c r="R665">
        <v>6</v>
      </c>
      <c r="S665">
        <v>72.599999999999994</v>
      </c>
    </row>
    <row r="666" spans="16:19" x14ac:dyDescent="0.35">
      <c r="P666">
        <v>4</v>
      </c>
      <c r="Q666">
        <v>194.75</v>
      </c>
      <c r="R666">
        <v>5</v>
      </c>
      <c r="S666">
        <v>779</v>
      </c>
    </row>
    <row r="667" spans="16:19" x14ac:dyDescent="0.35">
      <c r="P667">
        <v>4</v>
      </c>
      <c r="Q667">
        <v>231.26</v>
      </c>
      <c r="R667">
        <v>6</v>
      </c>
      <c r="S667">
        <v>925.04</v>
      </c>
    </row>
    <row r="668" spans="16:19" x14ac:dyDescent="0.35">
      <c r="P668">
        <v>4</v>
      </c>
      <c r="Q668">
        <v>327.12</v>
      </c>
      <c r="R668">
        <v>4</v>
      </c>
      <c r="S668">
        <v>1308.48</v>
      </c>
    </row>
    <row r="669" spans="16:19" x14ac:dyDescent="0.35">
      <c r="P669">
        <v>1</v>
      </c>
      <c r="Q669">
        <v>466.42</v>
      </c>
      <c r="R669">
        <v>5</v>
      </c>
      <c r="S669">
        <v>466.42</v>
      </c>
    </row>
    <row r="670" spans="16:19" x14ac:dyDescent="0.35">
      <c r="P670">
        <v>2</v>
      </c>
      <c r="Q670">
        <v>253.67</v>
      </c>
      <c r="R670">
        <v>3</v>
      </c>
      <c r="S670">
        <v>507.34</v>
      </c>
    </row>
    <row r="671" spans="16:19" x14ac:dyDescent="0.35">
      <c r="P671">
        <v>1</v>
      </c>
      <c r="Q671">
        <v>257</v>
      </c>
      <c r="R671">
        <v>5</v>
      </c>
      <c r="S671">
        <v>257</v>
      </c>
    </row>
    <row r="672" spans="16:19" x14ac:dyDescent="0.35">
      <c r="P672">
        <v>4</v>
      </c>
      <c r="Q672">
        <v>539.20000000000005</v>
      </c>
      <c r="R672">
        <v>8</v>
      </c>
      <c r="S672">
        <v>2156.8000000000002</v>
      </c>
    </row>
    <row r="673" spans="16:19" x14ac:dyDescent="0.35">
      <c r="P673">
        <v>5</v>
      </c>
      <c r="Q673">
        <v>50.74</v>
      </c>
      <c r="R673">
        <v>7</v>
      </c>
      <c r="S673">
        <v>253.7</v>
      </c>
    </row>
    <row r="674" spans="16:19" x14ac:dyDescent="0.35">
      <c r="P674">
        <v>2</v>
      </c>
      <c r="Q674">
        <v>624.16</v>
      </c>
      <c r="R674">
        <v>2</v>
      </c>
      <c r="S674">
        <v>1248.32</v>
      </c>
    </row>
    <row r="675" spans="16:19" x14ac:dyDescent="0.35">
      <c r="P675">
        <v>2</v>
      </c>
      <c r="Q675">
        <v>372.92</v>
      </c>
      <c r="R675">
        <v>7</v>
      </c>
      <c r="S675">
        <v>745.84</v>
      </c>
    </row>
    <row r="676" spans="16:19" x14ac:dyDescent="0.35">
      <c r="P676">
        <v>4</v>
      </c>
      <c r="Q676">
        <v>358.75</v>
      </c>
      <c r="R676">
        <v>9</v>
      </c>
      <c r="S676">
        <v>1435</v>
      </c>
    </row>
    <row r="677" spans="16:19" x14ac:dyDescent="0.35">
      <c r="P677">
        <v>3</v>
      </c>
      <c r="Q677">
        <v>342.02</v>
      </c>
      <c r="R677">
        <v>5</v>
      </c>
      <c r="S677">
        <v>1026.06</v>
      </c>
    </row>
    <row r="678" spans="16:19" x14ac:dyDescent="0.35">
      <c r="P678">
        <v>2</v>
      </c>
      <c r="Q678">
        <v>422.34</v>
      </c>
      <c r="R678">
        <v>4</v>
      </c>
      <c r="S678">
        <v>844.68</v>
      </c>
    </row>
    <row r="679" spans="16:19" x14ac:dyDescent="0.35">
      <c r="P679">
        <v>5</v>
      </c>
      <c r="Q679">
        <v>22.07</v>
      </c>
      <c r="R679">
        <v>7</v>
      </c>
      <c r="S679">
        <v>110.35</v>
      </c>
    </row>
    <row r="680" spans="16:19" x14ac:dyDescent="0.35">
      <c r="P680">
        <v>3</v>
      </c>
      <c r="Q680">
        <v>163.13</v>
      </c>
      <c r="R680">
        <v>5</v>
      </c>
      <c r="S680">
        <v>489.39</v>
      </c>
    </row>
    <row r="681" spans="16:19" x14ac:dyDescent="0.35">
      <c r="P681">
        <v>3</v>
      </c>
      <c r="Q681">
        <v>360.66</v>
      </c>
      <c r="R681">
        <v>5</v>
      </c>
      <c r="S681">
        <v>1081.98</v>
      </c>
    </row>
    <row r="682" spans="16:19" x14ac:dyDescent="0.35">
      <c r="P682">
        <v>3</v>
      </c>
      <c r="Q682">
        <v>463.39</v>
      </c>
      <c r="R682">
        <v>3</v>
      </c>
      <c r="S682">
        <v>1390.17</v>
      </c>
    </row>
    <row r="683" spans="16:19" x14ac:dyDescent="0.35">
      <c r="P683">
        <v>1</v>
      </c>
      <c r="Q683">
        <v>155.27000000000001</v>
      </c>
      <c r="R683">
        <v>6</v>
      </c>
      <c r="S683">
        <v>155.27000000000001</v>
      </c>
    </row>
    <row r="684" spans="16:19" x14ac:dyDescent="0.35">
      <c r="P684">
        <v>3</v>
      </c>
      <c r="Q684">
        <v>509.42</v>
      </c>
      <c r="R684">
        <v>5</v>
      </c>
      <c r="S684">
        <v>1528.26</v>
      </c>
    </row>
    <row r="685" spans="16:19" x14ac:dyDescent="0.35">
      <c r="P685">
        <v>4</v>
      </c>
      <c r="Q685">
        <v>652.48</v>
      </c>
      <c r="R685">
        <v>5</v>
      </c>
      <c r="S685">
        <v>2609.92</v>
      </c>
    </row>
    <row r="686" spans="16:19" x14ac:dyDescent="0.35">
      <c r="P686">
        <v>4</v>
      </c>
      <c r="Q686">
        <v>34.840000000000003</v>
      </c>
      <c r="R686">
        <v>8</v>
      </c>
      <c r="S686">
        <v>139.36000000000001</v>
      </c>
    </row>
    <row r="687" spans="16:19" x14ac:dyDescent="0.35">
      <c r="P687">
        <v>1</v>
      </c>
      <c r="Q687">
        <v>234.37</v>
      </c>
      <c r="R687">
        <v>5</v>
      </c>
      <c r="S687">
        <v>234.37</v>
      </c>
    </row>
    <row r="688" spans="16:19" x14ac:dyDescent="0.35">
      <c r="P688">
        <v>3</v>
      </c>
      <c r="Q688">
        <v>53.6</v>
      </c>
      <c r="R688">
        <v>4</v>
      </c>
      <c r="S688">
        <v>160.80000000000001</v>
      </c>
    </row>
    <row r="689" spans="16:19" x14ac:dyDescent="0.35">
      <c r="P689">
        <v>1</v>
      </c>
      <c r="Q689">
        <v>332.09</v>
      </c>
      <c r="R689">
        <v>5</v>
      </c>
      <c r="S689">
        <v>332.09</v>
      </c>
    </row>
    <row r="690" spans="16:19" x14ac:dyDescent="0.35">
      <c r="P690">
        <v>4</v>
      </c>
      <c r="Q690">
        <v>593.22</v>
      </c>
      <c r="R690">
        <v>8</v>
      </c>
      <c r="S690">
        <v>2372.88</v>
      </c>
    </row>
    <row r="691" spans="16:19" x14ac:dyDescent="0.35">
      <c r="P691">
        <v>2</v>
      </c>
      <c r="Q691">
        <v>444.84</v>
      </c>
      <c r="R691">
        <v>7</v>
      </c>
      <c r="S691">
        <v>889.68</v>
      </c>
    </row>
    <row r="692" spans="16:19" x14ac:dyDescent="0.35">
      <c r="P692">
        <v>1</v>
      </c>
      <c r="Q692">
        <v>24.48</v>
      </c>
      <c r="R692">
        <v>1</v>
      </c>
      <c r="S692">
        <v>24.48</v>
      </c>
    </row>
    <row r="693" spans="16:19" x14ac:dyDescent="0.35">
      <c r="P693">
        <v>3</v>
      </c>
      <c r="Q693">
        <v>239.08</v>
      </c>
      <c r="R693">
        <v>8</v>
      </c>
      <c r="S693">
        <v>717.24</v>
      </c>
    </row>
    <row r="694" spans="16:19" x14ac:dyDescent="0.35">
      <c r="P694">
        <v>5</v>
      </c>
      <c r="Q694">
        <v>196.84</v>
      </c>
      <c r="R694">
        <v>5</v>
      </c>
      <c r="S694">
        <v>984.2</v>
      </c>
    </row>
    <row r="695" spans="16:19" x14ac:dyDescent="0.35">
      <c r="P695">
        <v>1</v>
      </c>
      <c r="Q695">
        <v>176.58</v>
      </c>
      <c r="R695">
        <v>4</v>
      </c>
      <c r="S695">
        <v>176.58</v>
      </c>
    </row>
    <row r="696" spans="16:19" x14ac:dyDescent="0.35">
      <c r="P696">
        <v>4</v>
      </c>
      <c r="Q696">
        <v>666.52</v>
      </c>
      <c r="R696">
        <v>8</v>
      </c>
      <c r="S696">
        <v>2666.08</v>
      </c>
    </row>
    <row r="697" spans="16:19" x14ac:dyDescent="0.35">
      <c r="P697">
        <v>5</v>
      </c>
      <c r="Q697">
        <v>101.3</v>
      </c>
      <c r="R697">
        <v>7</v>
      </c>
      <c r="S697">
        <v>506.5</v>
      </c>
    </row>
    <row r="698" spans="16:19" x14ac:dyDescent="0.35">
      <c r="P698">
        <v>4</v>
      </c>
      <c r="Q698">
        <v>151.19999999999999</v>
      </c>
      <c r="R698">
        <v>9</v>
      </c>
      <c r="S698">
        <v>604.79999999999995</v>
      </c>
    </row>
    <row r="699" spans="16:19" x14ac:dyDescent="0.35">
      <c r="P699">
        <v>5</v>
      </c>
      <c r="Q699">
        <v>94.85</v>
      </c>
      <c r="R699">
        <v>6</v>
      </c>
      <c r="S699">
        <v>474.25</v>
      </c>
    </row>
    <row r="700" spans="16:19" x14ac:dyDescent="0.35">
      <c r="P700">
        <v>2</v>
      </c>
      <c r="Q700">
        <v>388.22</v>
      </c>
      <c r="R700">
        <v>2</v>
      </c>
      <c r="S700">
        <v>776.44</v>
      </c>
    </row>
    <row r="701" spans="16:19" x14ac:dyDescent="0.35">
      <c r="P701">
        <v>3</v>
      </c>
      <c r="Q701">
        <v>614.15</v>
      </c>
      <c r="R701">
        <v>3</v>
      </c>
      <c r="S701">
        <v>1842.45</v>
      </c>
    </row>
    <row r="702" spans="16:19" x14ac:dyDescent="0.35">
      <c r="P702">
        <v>2</v>
      </c>
      <c r="Q702">
        <v>92.91</v>
      </c>
      <c r="R702">
        <v>3</v>
      </c>
      <c r="S702">
        <v>185.82</v>
      </c>
    </row>
    <row r="703" spans="16:19" x14ac:dyDescent="0.35">
      <c r="P703">
        <v>3</v>
      </c>
      <c r="Q703">
        <v>92.22</v>
      </c>
      <c r="R703">
        <v>5</v>
      </c>
      <c r="S703">
        <v>276.66000000000003</v>
      </c>
    </row>
    <row r="704" spans="16:19" x14ac:dyDescent="0.35">
      <c r="P704">
        <v>3</v>
      </c>
      <c r="Q704">
        <v>562.54999999999995</v>
      </c>
      <c r="R704">
        <v>6</v>
      </c>
      <c r="S704">
        <v>1687.65</v>
      </c>
    </row>
    <row r="705" spans="16:19" x14ac:dyDescent="0.35">
      <c r="P705">
        <v>1</v>
      </c>
      <c r="Q705">
        <v>92.79</v>
      </c>
      <c r="R705">
        <v>3</v>
      </c>
      <c r="S705">
        <v>92.79</v>
      </c>
    </row>
    <row r="706" spans="16:19" x14ac:dyDescent="0.35">
      <c r="P706">
        <v>4</v>
      </c>
      <c r="Q706">
        <v>30.27</v>
      </c>
      <c r="R706">
        <v>9</v>
      </c>
      <c r="S706">
        <v>121.08</v>
      </c>
    </row>
    <row r="707" spans="16:19" x14ac:dyDescent="0.35">
      <c r="P707">
        <v>2</v>
      </c>
      <c r="Q707">
        <v>49.08</v>
      </c>
      <c r="R707">
        <v>7</v>
      </c>
      <c r="S707">
        <v>98.16</v>
      </c>
    </row>
    <row r="708" spans="16:19" x14ac:dyDescent="0.35">
      <c r="P708">
        <v>5</v>
      </c>
      <c r="Q708">
        <v>228.09</v>
      </c>
      <c r="R708">
        <v>9</v>
      </c>
      <c r="S708">
        <v>1140.45</v>
      </c>
    </row>
    <row r="709" spans="16:19" x14ac:dyDescent="0.35">
      <c r="P709">
        <v>4</v>
      </c>
      <c r="Q709">
        <v>650.04</v>
      </c>
      <c r="R709">
        <v>6</v>
      </c>
      <c r="S709">
        <v>2600.16</v>
      </c>
    </row>
    <row r="710" spans="16:19" x14ac:dyDescent="0.35">
      <c r="P710">
        <v>1</v>
      </c>
      <c r="Q710">
        <v>665.11</v>
      </c>
      <c r="R710">
        <v>3</v>
      </c>
      <c r="S710">
        <v>665.11</v>
      </c>
    </row>
    <row r="711" spans="16:19" x14ac:dyDescent="0.35">
      <c r="P711">
        <v>1</v>
      </c>
      <c r="Q711">
        <v>386.03</v>
      </c>
      <c r="R711">
        <v>4</v>
      </c>
      <c r="S711">
        <v>386.03</v>
      </c>
    </row>
    <row r="712" spans="16:19" x14ac:dyDescent="0.35">
      <c r="P712">
        <v>5</v>
      </c>
      <c r="Q712">
        <v>21.54</v>
      </c>
      <c r="R712">
        <v>10</v>
      </c>
      <c r="S712">
        <v>107.7</v>
      </c>
    </row>
    <row r="713" spans="16:19" x14ac:dyDescent="0.35">
      <c r="P713">
        <v>2</v>
      </c>
      <c r="Q713">
        <v>475.78</v>
      </c>
      <c r="R713">
        <v>2</v>
      </c>
      <c r="S713">
        <v>951.56</v>
      </c>
    </row>
    <row r="714" spans="16:19" x14ac:dyDescent="0.35">
      <c r="P714">
        <v>2</v>
      </c>
      <c r="Q714">
        <v>68.400000000000006</v>
      </c>
      <c r="R714">
        <v>7</v>
      </c>
      <c r="S714">
        <v>136.80000000000001</v>
      </c>
    </row>
    <row r="715" spans="16:19" x14ac:dyDescent="0.35">
      <c r="P715">
        <v>4</v>
      </c>
      <c r="Q715">
        <v>532.49</v>
      </c>
      <c r="R715">
        <v>6</v>
      </c>
      <c r="S715">
        <v>2129.96</v>
      </c>
    </row>
    <row r="716" spans="16:19" x14ac:dyDescent="0.35">
      <c r="P716">
        <v>1</v>
      </c>
      <c r="Q716">
        <v>51.73</v>
      </c>
      <c r="R716">
        <v>1</v>
      </c>
      <c r="S716">
        <v>51.73</v>
      </c>
    </row>
    <row r="717" spans="16:19" x14ac:dyDescent="0.35">
      <c r="P717">
        <v>3</v>
      </c>
      <c r="Q717">
        <v>653.63</v>
      </c>
      <c r="R717">
        <v>7</v>
      </c>
      <c r="S717">
        <v>1960.89</v>
      </c>
    </row>
    <row r="718" spans="16:19" x14ac:dyDescent="0.35">
      <c r="P718">
        <v>3</v>
      </c>
      <c r="Q718">
        <v>454.29</v>
      </c>
      <c r="R718">
        <v>4</v>
      </c>
      <c r="S718">
        <v>1362.87</v>
      </c>
    </row>
    <row r="719" spans="16:19" x14ac:dyDescent="0.35">
      <c r="P719">
        <v>3</v>
      </c>
      <c r="Q719">
        <v>122.11</v>
      </c>
      <c r="R719">
        <v>4</v>
      </c>
      <c r="S719">
        <v>366.33</v>
      </c>
    </row>
    <row r="720" spans="16:19" x14ac:dyDescent="0.35">
      <c r="P720">
        <v>4</v>
      </c>
      <c r="Q720">
        <v>64.739999999999995</v>
      </c>
      <c r="R720">
        <v>8</v>
      </c>
      <c r="S720">
        <v>258.95999999999998</v>
      </c>
    </row>
    <row r="721" spans="16:19" x14ac:dyDescent="0.35">
      <c r="P721">
        <v>2</v>
      </c>
      <c r="Q721">
        <v>681.06</v>
      </c>
      <c r="R721">
        <v>3</v>
      </c>
      <c r="S721">
        <v>1362.12</v>
      </c>
    </row>
    <row r="722" spans="16:19" x14ac:dyDescent="0.35">
      <c r="P722">
        <v>5</v>
      </c>
      <c r="Q722">
        <v>128.94999999999999</v>
      </c>
      <c r="R722">
        <v>10</v>
      </c>
      <c r="S722">
        <v>644.75</v>
      </c>
    </row>
    <row r="723" spans="16:19" x14ac:dyDescent="0.35">
      <c r="P723">
        <v>2</v>
      </c>
      <c r="Q723">
        <v>118.59</v>
      </c>
      <c r="R723">
        <v>2</v>
      </c>
      <c r="S723">
        <v>237.18</v>
      </c>
    </row>
    <row r="724" spans="16:19" x14ac:dyDescent="0.35">
      <c r="P724">
        <v>1</v>
      </c>
      <c r="Q724">
        <v>95.1</v>
      </c>
      <c r="R724">
        <v>1</v>
      </c>
      <c r="S724">
        <v>95.1</v>
      </c>
    </row>
    <row r="725" spans="16:19" x14ac:dyDescent="0.35">
      <c r="P725">
        <v>3</v>
      </c>
      <c r="Q725">
        <v>54.95</v>
      </c>
      <c r="R725">
        <v>8</v>
      </c>
      <c r="S725">
        <v>164.85</v>
      </c>
    </row>
    <row r="726" spans="16:19" x14ac:dyDescent="0.35">
      <c r="P726">
        <v>3</v>
      </c>
      <c r="Q726">
        <v>136.97</v>
      </c>
      <c r="R726">
        <v>4</v>
      </c>
      <c r="S726">
        <v>410.91</v>
      </c>
    </row>
    <row r="727" spans="16:19" x14ac:dyDescent="0.35">
      <c r="P727">
        <v>2</v>
      </c>
      <c r="Q727">
        <v>194.85</v>
      </c>
      <c r="R727">
        <v>5</v>
      </c>
      <c r="S727">
        <v>389.7</v>
      </c>
    </row>
    <row r="728" spans="16:19" x14ac:dyDescent="0.35">
      <c r="P728">
        <v>4</v>
      </c>
      <c r="Q728">
        <v>583.02</v>
      </c>
      <c r="R728">
        <v>4</v>
      </c>
      <c r="S728">
        <v>2332.08</v>
      </c>
    </row>
    <row r="729" spans="16:19" x14ac:dyDescent="0.35">
      <c r="P729">
        <v>5</v>
      </c>
      <c r="Q729">
        <v>95.75</v>
      </c>
      <c r="R729">
        <v>8</v>
      </c>
      <c r="S729">
        <v>478.75</v>
      </c>
    </row>
    <row r="730" spans="16:19" x14ac:dyDescent="0.35">
      <c r="P730">
        <v>4</v>
      </c>
      <c r="Q730">
        <v>325.76</v>
      </c>
      <c r="R730">
        <v>8</v>
      </c>
      <c r="S730">
        <v>1303.04</v>
      </c>
    </row>
    <row r="731" spans="16:19" x14ac:dyDescent="0.35">
      <c r="P731">
        <v>4</v>
      </c>
      <c r="Q731">
        <v>186.41</v>
      </c>
      <c r="R731">
        <v>6</v>
      </c>
      <c r="S731">
        <v>745.64</v>
      </c>
    </row>
    <row r="732" spans="16:19" x14ac:dyDescent="0.35">
      <c r="P732">
        <v>1</v>
      </c>
      <c r="Q732">
        <v>474.6</v>
      </c>
      <c r="R732">
        <v>4</v>
      </c>
      <c r="S732">
        <v>474.6</v>
      </c>
    </row>
    <row r="733" spans="16:19" x14ac:dyDescent="0.35">
      <c r="P733">
        <v>5</v>
      </c>
      <c r="Q733">
        <v>584.46</v>
      </c>
      <c r="R733">
        <v>8</v>
      </c>
      <c r="S733">
        <v>2922.3</v>
      </c>
    </row>
    <row r="734" spans="16:19" x14ac:dyDescent="0.35">
      <c r="P734">
        <v>1</v>
      </c>
      <c r="Q734">
        <v>132.05000000000001</v>
      </c>
      <c r="R734">
        <v>2</v>
      </c>
      <c r="S734">
        <v>132.05000000000001</v>
      </c>
    </row>
    <row r="735" spans="16:19" x14ac:dyDescent="0.35">
      <c r="P735">
        <v>4</v>
      </c>
      <c r="Q735">
        <v>494.84</v>
      </c>
      <c r="R735">
        <v>8</v>
      </c>
      <c r="S735">
        <v>1979.36</v>
      </c>
    </row>
    <row r="736" spans="16:19" x14ac:dyDescent="0.35">
      <c r="P736">
        <v>4</v>
      </c>
      <c r="Q736">
        <v>224.61</v>
      </c>
      <c r="R736">
        <v>6</v>
      </c>
      <c r="S736">
        <v>898.44</v>
      </c>
    </row>
    <row r="737" spans="16:19" x14ac:dyDescent="0.35">
      <c r="P737">
        <v>4</v>
      </c>
      <c r="Q737">
        <v>44.07</v>
      </c>
      <c r="R737">
        <v>6</v>
      </c>
      <c r="S737">
        <v>176.28</v>
      </c>
    </row>
    <row r="738" spans="16:19" x14ac:dyDescent="0.35">
      <c r="P738">
        <v>5</v>
      </c>
      <c r="Q738">
        <v>418.53</v>
      </c>
      <c r="R738">
        <v>6</v>
      </c>
      <c r="S738">
        <v>2092.65</v>
      </c>
    </row>
    <row r="739" spans="16:19" x14ac:dyDescent="0.35">
      <c r="P739">
        <v>4</v>
      </c>
      <c r="Q739">
        <v>532.87</v>
      </c>
      <c r="R739">
        <v>9</v>
      </c>
      <c r="S739">
        <v>2131.48</v>
      </c>
    </row>
    <row r="740" spans="16:19" x14ac:dyDescent="0.35">
      <c r="P740">
        <v>2</v>
      </c>
      <c r="Q740">
        <v>485.37</v>
      </c>
      <c r="R740">
        <v>5</v>
      </c>
      <c r="S740">
        <v>970.74</v>
      </c>
    </row>
    <row r="741" spans="16:19" x14ac:dyDescent="0.35">
      <c r="P741">
        <v>4</v>
      </c>
      <c r="Q741">
        <v>386.73</v>
      </c>
      <c r="R741">
        <v>4</v>
      </c>
      <c r="S741">
        <v>1546.92</v>
      </c>
    </row>
    <row r="742" spans="16:19" x14ac:dyDescent="0.35">
      <c r="P742">
        <v>2</v>
      </c>
      <c r="Q742">
        <v>377.47</v>
      </c>
      <c r="R742">
        <v>7</v>
      </c>
      <c r="S742">
        <v>754.94</v>
      </c>
    </row>
    <row r="743" spans="16:19" x14ac:dyDescent="0.35">
      <c r="P743">
        <v>5</v>
      </c>
      <c r="Q743">
        <v>332.64</v>
      </c>
      <c r="R743">
        <v>10</v>
      </c>
      <c r="S743">
        <v>1663.2</v>
      </c>
    </row>
    <row r="744" spans="16:19" x14ac:dyDescent="0.35">
      <c r="P744">
        <v>3</v>
      </c>
      <c r="Q744">
        <v>699.93</v>
      </c>
      <c r="R744">
        <v>7</v>
      </c>
      <c r="S744">
        <v>2099.79</v>
      </c>
    </row>
    <row r="745" spans="16:19" x14ac:dyDescent="0.35">
      <c r="P745">
        <v>1</v>
      </c>
      <c r="Q745">
        <v>576.35</v>
      </c>
      <c r="R745">
        <v>1</v>
      </c>
      <c r="S745">
        <v>576.35</v>
      </c>
    </row>
    <row r="746" spans="16:19" x14ac:dyDescent="0.35">
      <c r="P746">
        <v>2</v>
      </c>
      <c r="Q746">
        <v>461.37</v>
      </c>
      <c r="R746">
        <v>5</v>
      </c>
      <c r="S746">
        <v>922.74</v>
      </c>
    </row>
    <row r="747" spans="16:19" x14ac:dyDescent="0.35">
      <c r="P747">
        <v>4</v>
      </c>
      <c r="Q747">
        <v>111.3</v>
      </c>
      <c r="R747">
        <v>7</v>
      </c>
      <c r="S747">
        <v>445.2</v>
      </c>
    </row>
    <row r="748" spans="16:19" x14ac:dyDescent="0.35">
      <c r="P748">
        <v>3</v>
      </c>
      <c r="Q748">
        <v>661.89</v>
      </c>
      <c r="R748">
        <v>6</v>
      </c>
      <c r="S748">
        <v>1985.67</v>
      </c>
    </row>
    <row r="749" spans="16:19" x14ac:dyDescent="0.35">
      <c r="P749">
        <v>2</v>
      </c>
      <c r="Q749">
        <v>259.58</v>
      </c>
      <c r="R749">
        <v>7</v>
      </c>
      <c r="S749">
        <v>519.16</v>
      </c>
    </row>
    <row r="750" spans="16:19" x14ac:dyDescent="0.35">
      <c r="P750">
        <v>3</v>
      </c>
      <c r="Q750">
        <v>70.81</v>
      </c>
      <c r="R750">
        <v>8</v>
      </c>
      <c r="S750">
        <v>212.43</v>
      </c>
    </row>
    <row r="751" spans="16:19" x14ac:dyDescent="0.35">
      <c r="P751">
        <v>1</v>
      </c>
      <c r="Q751">
        <v>518.39</v>
      </c>
      <c r="R751">
        <v>4</v>
      </c>
      <c r="S751">
        <v>518.39</v>
      </c>
    </row>
    <row r="752" spans="16:19" x14ac:dyDescent="0.35">
      <c r="P752">
        <v>4</v>
      </c>
      <c r="Q752">
        <v>145.41</v>
      </c>
      <c r="R752">
        <v>7</v>
      </c>
      <c r="S752">
        <v>581.64</v>
      </c>
    </row>
    <row r="753" spans="16:19" x14ac:dyDescent="0.35">
      <c r="P753">
        <v>2</v>
      </c>
      <c r="Q753">
        <v>599.86</v>
      </c>
      <c r="R753">
        <v>7</v>
      </c>
      <c r="S753">
        <v>1199.72</v>
      </c>
    </row>
    <row r="754" spans="16:19" x14ac:dyDescent="0.35">
      <c r="P754">
        <v>4</v>
      </c>
      <c r="Q754">
        <v>429.37</v>
      </c>
      <c r="R754">
        <v>8</v>
      </c>
      <c r="S754">
        <v>1717.48</v>
      </c>
    </row>
    <row r="755" spans="16:19" x14ac:dyDescent="0.35">
      <c r="P755">
        <v>2</v>
      </c>
      <c r="Q755">
        <v>241.49</v>
      </c>
      <c r="R755">
        <v>7</v>
      </c>
      <c r="S755">
        <v>482.98</v>
      </c>
    </row>
    <row r="756" spans="16:19" x14ac:dyDescent="0.35">
      <c r="P756">
        <v>2</v>
      </c>
      <c r="Q756">
        <v>452.05</v>
      </c>
      <c r="R756">
        <v>3</v>
      </c>
      <c r="S756">
        <v>904.1</v>
      </c>
    </row>
    <row r="757" spans="16:19" x14ac:dyDescent="0.35">
      <c r="P757">
        <v>3</v>
      </c>
      <c r="Q757">
        <v>336.71</v>
      </c>
      <c r="R757">
        <v>4</v>
      </c>
      <c r="S757">
        <v>1010.13</v>
      </c>
    </row>
    <row r="758" spans="16:19" x14ac:dyDescent="0.35">
      <c r="P758">
        <v>1</v>
      </c>
      <c r="Q758">
        <v>283.69</v>
      </c>
      <c r="R758">
        <v>6</v>
      </c>
      <c r="S758">
        <v>283.69</v>
      </c>
    </row>
    <row r="759" spans="16:19" x14ac:dyDescent="0.35">
      <c r="P759">
        <v>1</v>
      </c>
      <c r="Q759">
        <v>157.72</v>
      </c>
      <c r="R759">
        <v>2</v>
      </c>
      <c r="S759">
        <v>157.72</v>
      </c>
    </row>
    <row r="760" spans="16:19" x14ac:dyDescent="0.35">
      <c r="P760">
        <v>3</v>
      </c>
      <c r="Q760">
        <v>624.84</v>
      </c>
      <c r="R760">
        <v>8</v>
      </c>
      <c r="S760">
        <v>1874.52</v>
      </c>
    </row>
    <row r="761" spans="16:19" x14ac:dyDescent="0.35">
      <c r="P761">
        <v>3</v>
      </c>
      <c r="Q761">
        <v>308.01</v>
      </c>
      <c r="R761">
        <v>3</v>
      </c>
      <c r="S761">
        <v>924.03</v>
      </c>
    </row>
    <row r="762" spans="16:19" x14ac:dyDescent="0.35">
      <c r="P762">
        <v>1</v>
      </c>
      <c r="Q762">
        <v>39.56</v>
      </c>
      <c r="R762">
        <v>5</v>
      </c>
      <c r="S762">
        <v>39.56</v>
      </c>
    </row>
    <row r="763" spans="16:19" x14ac:dyDescent="0.35">
      <c r="P763">
        <v>4</v>
      </c>
      <c r="Q763">
        <v>37.76</v>
      </c>
      <c r="R763">
        <v>7</v>
      </c>
      <c r="S763">
        <v>151.04</v>
      </c>
    </row>
    <row r="764" spans="16:19" x14ac:dyDescent="0.35">
      <c r="P764">
        <v>3</v>
      </c>
      <c r="Q764">
        <v>76.959999999999994</v>
      </c>
      <c r="R764">
        <v>8</v>
      </c>
      <c r="S764">
        <v>230.88</v>
      </c>
    </row>
    <row r="765" spans="16:19" x14ac:dyDescent="0.35">
      <c r="P765">
        <v>1</v>
      </c>
      <c r="Q765">
        <v>569.96</v>
      </c>
      <c r="R765">
        <v>4</v>
      </c>
      <c r="S765">
        <v>569.96</v>
      </c>
    </row>
    <row r="766" spans="16:19" x14ac:dyDescent="0.35">
      <c r="P766">
        <v>5</v>
      </c>
      <c r="Q766">
        <v>627.42999999999995</v>
      </c>
      <c r="R766">
        <v>10</v>
      </c>
      <c r="S766">
        <v>3137.15</v>
      </c>
    </row>
    <row r="767" spans="16:19" x14ac:dyDescent="0.35">
      <c r="P767">
        <v>2</v>
      </c>
      <c r="Q767">
        <v>534.91</v>
      </c>
      <c r="R767">
        <v>5</v>
      </c>
      <c r="S767">
        <v>1069.82</v>
      </c>
    </row>
    <row r="768" spans="16:19" x14ac:dyDescent="0.35">
      <c r="P768">
        <v>2</v>
      </c>
      <c r="Q768">
        <v>278.88</v>
      </c>
      <c r="R768">
        <v>3</v>
      </c>
      <c r="S768">
        <v>557.76</v>
      </c>
    </row>
    <row r="769" spans="16:19" x14ac:dyDescent="0.35">
      <c r="P769">
        <v>2</v>
      </c>
      <c r="Q769">
        <v>323.22000000000003</v>
      </c>
      <c r="R769">
        <v>7</v>
      </c>
      <c r="S769">
        <v>646.44000000000005</v>
      </c>
    </row>
    <row r="770" spans="16:19" x14ac:dyDescent="0.35">
      <c r="P770">
        <v>5</v>
      </c>
      <c r="Q770">
        <v>653.46</v>
      </c>
      <c r="R770">
        <v>9</v>
      </c>
      <c r="S770">
        <v>3267.3</v>
      </c>
    </row>
    <row r="771" spans="16:19" x14ac:dyDescent="0.35">
      <c r="P771">
        <v>4</v>
      </c>
      <c r="Q771">
        <v>678.55</v>
      </c>
      <c r="R771">
        <v>5</v>
      </c>
      <c r="S771">
        <v>2714.2</v>
      </c>
    </row>
    <row r="772" spans="16:19" x14ac:dyDescent="0.35">
      <c r="P772">
        <v>1</v>
      </c>
      <c r="Q772">
        <v>314.38</v>
      </c>
      <c r="R772">
        <v>6</v>
      </c>
      <c r="S772">
        <v>314.38</v>
      </c>
    </row>
    <row r="773" spans="16:19" x14ac:dyDescent="0.35">
      <c r="P773">
        <v>3</v>
      </c>
      <c r="Q773">
        <v>692.44</v>
      </c>
      <c r="R773">
        <v>8</v>
      </c>
      <c r="S773">
        <v>2077.3200000000002</v>
      </c>
    </row>
    <row r="774" spans="16:19" x14ac:dyDescent="0.35">
      <c r="P774">
        <v>1</v>
      </c>
      <c r="Q774">
        <v>604.87</v>
      </c>
      <c r="R774">
        <v>4</v>
      </c>
      <c r="S774">
        <v>604.87</v>
      </c>
    </row>
    <row r="775" spans="16:19" x14ac:dyDescent="0.35">
      <c r="P775">
        <v>2</v>
      </c>
      <c r="Q775">
        <v>512.33000000000004</v>
      </c>
      <c r="R775">
        <v>7</v>
      </c>
      <c r="S775">
        <v>1024.6600000000001</v>
      </c>
    </row>
    <row r="776" spans="16:19" x14ac:dyDescent="0.35">
      <c r="P776">
        <v>3</v>
      </c>
      <c r="Q776">
        <v>20.54</v>
      </c>
      <c r="R776">
        <v>3</v>
      </c>
      <c r="S776">
        <v>61.62</v>
      </c>
    </row>
    <row r="777" spans="16:19" x14ac:dyDescent="0.35">
      <c r="P777">
        <v>2</v>
      </c>
      <c r="Q777">
        <v>625.22</v>
      </c>
      <c r="R777">
        <v>5</v>
      </c>
      <c r="S777">
        <v>1250.44</v>
      </c>
    </row>
    <row r="778" spans="16:19" x14ac:dyDescent="0.35">
      <c r="P778">
        <v>1</v>
      </c>
      <c r="Q778">
        <v>21.19</v>
      </c>
      <c r="R778">
        <v>5</v>
      </c>
      <c r="S778">
        <v>21.19</v>
      </c>
    </row>
    <row r="779" spans="16:19" x14ac:dyDescent="0.35">
      <c r="P779">
        <v>5</v>
      </c>
      <c r="Q779">
        <v>64.489999999999995</v>
      </c>
      <c r="R779">
        <v>7</v>
      </c>
      <c r="S779">
        <v>322.45</v>
      </c>
    </row>
    <row r="780" spans="16:19" x14ac:dyDescent="0.35">
      <c r="P780">
        <v>4</v>
      </c>
      <c r="Q780">
        <v>246.85</v>
      </c>
      <c r="R780">
        <v>8</v>
      </c>
      <c r="S780">
        <v>987.4</v>
      </c>
    </row>
    <row r="781" spans="16:19" x14ac:dyDescent="0.35">
      <c r="P781">
        <v>3</v>
      </c>
      <c r="Q781">
        <v>588.74</v>
      </c>
      <c r="R781">
        <v>8</v>
      </c>
      <c r="S781">
        <v>1766.22</v>
      </c>
    </row>
    <row r="782" spans="16:19" x14ac:dyDescent="0.35">
      <c r="P782">
        <v>4</v>
      </c>
      <c r="Q782">
        <v>184.48</v>
      </c>
      <c r="R782">
        <v>4</v>
      </c>
      <c r="S782">
        <v>737.92</v>
      </c>
    </row>
    <row r="783" spans="16:19" x14ac:dyDescent="0.35">
      <c r="P783">
        <v>5</v>
      </c>
      <c r="Q783">
        <v>524.26</v>
      </c>
      <c r="R783">
        <v>5</v>
      </c>
      <c r="S783">
        <v>2621.3000000000002</v>
      </c>
    </row>
    <row r="784" spans="16:19" x14ac:dyDescent="0.35">
      <c r="P784">
        <v>2</v>
      </c>
      <c r="Q784">
        <v>493.63</v>
      </c>
      <c r="R784">
        <v>6</v>
      </c>
      <c r="S784">
        <v>987.26</v>
      </c>
    </row>
    <row r="785" spans="16:19" x14ac:dyDescent="0.35">
      <c r="P785">
        <v>1</v>
      </c>
      <c r="Q785">
        <v>438.34</v>
      </c>
      <c r="R785">
        <v>5</v>
      </c>
      <c r="S785">
        <v>438.34</v>
      </c>
    </row>
    <row r="786" spans="16:19" x14ac:dyDescent="0.35">
      <c r="P786">
        <v>1</v>
      </c>
      <c r="Q786">
        <v>325.81</v>
      </c>
      <c r="R786">
        <v>1</v>
      </c>
      <c r="S786">
        <v>325.81</v>
      </c>
    </row>
    <row r="787" spans="16:19" x14ac:dyDescent="0.35">
      <c r="P787">
        <v>1</v>
      </c>
      <c r="Q787">
        <v>176.1</v>
      </c>
      <c r="R787">
        <v>1</v>
      </c>
      <c r="S787">
        <v>176.1</v>
      </c>
    </row>
    <row r="788" spans="16:19" x14ac:dyDescent="0.35">
      <c r="P788">
        <v>5</v>
      </c>
      <c r="Q788">
        <v>45.31</v>
      </c>
      <c r="R788">
        <v>8</v>
      </c>
      <c r="S788">
        <v>226.55</v>
      </c>
    </row>
    <row r="789" spans="16:19" x14ac:dyDescent="0.35">
      <c r="P789">
        <v>4</v>
      </c>
      <c r="Q789">
        <v>221.96</v>
      </c>
      <c r="R789">
        <v>7</v>
      </c>
      <c r="S789">
        <v>887.84</v>
      </c>
    </row>
    <row r="790" spans="16:19" x14ac:dyDescent="0.35">
      <c r="P790">
        <v>2</v>
      </c>
      <c r="Q790">
        <v>601.42999999999995</v>
      </c>
      <c r="R790">
        <v>5</v>
      </c>
      <c r="S790">
        <v>1202.8599999999999</v>
      </c>
    </row>
    <row r="791" spans="16:19" x14ac:dyDescent="0.35">
      <c r="P791">
        <v>5</v>
      </c>
      <c r="Q791">
        <v>691.28</v>
      </c>
      <c r="R791">
        <v>10</v>
      </c>
      <c r="S791">
        <v>3456.4</v>
      </c>
    </row>
    <row r="792" spans="16:19" x14ac:dyDescent="0.35">
      <c r="P792">
        <v>4</v>
      </c>
      <c r="Q792">
        <v>417.89</v>
      </c>
      <c r="R792">
        <v>4</v>
      </c>
      <c r="S792">
        <v>1671.56</v>
      </c>
    </row>
    <row r="793" spans="16:19" x14ac:dyDescent="0.35">
      <c r="P793">
        <v>4</v>
      </c>
      <c r="Q793">
        <v>409.28</v>
      </c>
      <c r="R793">
        <v>8</v>
      </c>
      <c r="S793">
        <v>1637.12</v>
      </c>
    </row>
    <row r="794" spans="16:19" x14ac:dyDescent="0.35">
      <c r="P794">
        <v>2</v>
      </c>
      <c r="Q794">
        <v>356.35</v>
      </c>
      <c r="R794">
        <v>6</v>
      </c>
      <c r="S794">
        <v>712.7</v>
      </c>
    </row>
    <row r="795" spans="16:19" x14ac:dyDescent="0.35">
      <c r="P795">
        <v>5</v>
      </c>
      <c r="Q795">
        <v>170.22</v>
      </c>
      <c r="R795">
        <v>8</v>
      </c>
      <c r="S795">
        <v>851.1</v>
      </c>
    </row>
    <row r="796" spans="16:19" x14ac:dyDescent="0.35">
      <c r="P796">
        <v>4</v>
      </c>
      <c r="Q796">
        <v>384.85</v>
      </c>
      <c r="R796">
        <v>9</v>
      </c>
      <c r="S796">
        <v>1539.4</v>
      </c>
    </row>
    <row r="797" spans="16:19" x14ac:dyDescent="0.35">
      <c r="P797">
        <v>4</v>
      </c>
      <c r="Q797">
        <v>115.77</v>
      </c>
      <c r="R797">
        <v>7</v>
      </c>
      <c r="S797">
        <v>463.08</v>
      </c>
    </row>
    <row r="798" spans="16:19" x14ac:dyDescent="0.35">
      <c r="P798">
        <v>3</v>
      </c>
      <c r="Q798">
        <v>579.54999999999995</v>
      </c>
      <c r="R798">
        <v>8</v>
      </c>
      <c r="S798">
        <v>1738.65</v>
      </c>
    </row>
    <row r="799" spans="16:19" x14ac:dyDescent="0.35">
      <c r="P799">
        <v>2</v>
      </c>
      <c r="Q799">
        <v>438.76</v>
      </c>
      <c r="R799">
        <v>2</v>
      </c>
      <c r="S799">
        <v>877.52</v>
      </c>
    </row>
    <row r="800" spans="16:19" x14ac:dyDescent="0.35">
      <c r="P800">
        <v>5</v>
      </c>
      <c r="Q800">
        <v>488.35</v>
      </c>
      <c r="R800">
        <v>9</v>
      </c>
      <c r="S800">
        <v>2441.75</v>
      </c>
    </row>
    <row r="801" spans="16:19" x14ac:dyDescent="0.35">
      <c r="P801">
        <v>4</v>
      </c>
      <c r="Q801">
        <v>328.56</v>
      </c>
      <c r="R801">
        <v>4</v>
      </c>
      <c r="S801">
        <v>1314.24</v>
      </c>
    </row>
    <row r="802" spans="16:19" x14ac:dyDescent="0.35">
      <c r="P802">
        <v>1</v>
      </c>
      <c r="Q802">
        <v>68.39</v>
      </c>
      <c r="R802">
        <v>3</v>
      </c>
      <c r="S802">
        <v>68.39</v>
      </c>
    </row>
    <row r="803" spans="16:19" x14ac:dyDescent="0.35">
      <c r="P803">
        <v>4</v>
      </c>
      <c r="Q803">
        <v>595.62</v>
      </c>
      <c r="R803">
        <v>8</v>
      </c>
      <c r="S803">
        <v>2382.48</v>
      </c>
    </row>
    <row r="804" spans="16:19" x14ac:dyDescent="0.35">
      <c r="P804">
        <v>5</v>
      </c>
      <c r="Q804">
        <v>644.64</v>
      </c>
      <c r="R804">
        <v>6</v>
      </c>
      <c r="S804">
        <v>3223.2</v>
      </c>
    </row>
    <row r="805" spans="16:19" x14ac:dyDescent="0.35">
      <c r="P805">
        <v>5</v>
      </c>
      <c r="Q805">
        <v>397.81</v>
      </c>
      <c r="R805">
        <v>5</v>
      </c>
      <c r="S805">
        <v>1989.05</v>
      </c>
    </row>
    <row r="806" spans="16:19" x14ac:dyDescent="0.35">
      <c r="P806">
        <v>3</v>
      </c>
      <c r="Q806">
        <v>236.5</v>
      </c>
      <c r="R806">
        <v>8</v>
      </c>
      <c r="S806">
        <v>709.5</v>
      </c>
    </row>
    <row r="807" spans="16:19" x14ac:dyDescent="0.35">
      <c r="P807">
        <v>5</v>
      </c>
      <c r="Q807">
        <v>472.01</v>
      </c>
      <c r="R807">
        <v>10</v>
      </c>
      <c r="S807">
        <v>2360.0500000000002</v>
      </c>
    </row>
    <row r="808" spans="16:19" x14ac:dyDescent="0.35">
      <c r="P808">
        <v>5</v>
      </c>
      <c r="Q808">
        <v>253.75</v>
      </c>
      <c r="R808">
        <v>9</v>
      </c>
      <c r="S808">
        <v>1268.75</v>
      </c>
    </row>
    <row r="809" spans="16:19" x14ac:dyDescent="0.35">
      <c r="P809">
        <v>3</v>
      </c>
      <c r="Q809">
        <v>676.21</v>
      </c>
      <c r="R809">
        <v>5</v>
      </c>
      <c r="S809">
        <v>2028.63</v>
      </c>
    </row>
    <row r="810" spans="16:19" x14ac:dyDescent="0.35">
      <c r="P810">
        <v>3</v>
      </c>
      <c r="Q810">
        <v>134.05000000000001</v>
      </c>
      <c r="R810">
        <v>3</v>
      </c>
      <c r="S810">
        <v>402.15</v>
      </c>
    </row>
    <row r="811" spans="16:19" x14ac:dyDescent="0.35">
      <c r="P811">
        <v>5</v>
      </c>
      <c r="Q811">
        <v>217.43</v>
      </c>
      <c r="R811">
        <v>10</v>
      </c>
      <c r="S811">
        <v>1087.1500000000001</v>
      </c>
    </row>
    <row r="812" spans="16:19" x14ac:dyDescent="0.35">
      <c r="P812">
        <v>1</v>
      </c>
      <c r="Q812">
        <v>553.55999999999995</v>
      </c>
      <c r="R812">
        <v>5</v>
      </c>
      <c r="S812">
        <v>553.55999999999995</v>
      </c>
    </row>
    <row r="813" spans="16:19" x14ac:dyDescent="0.35">
      <c r="P813">
        <v>2</v>
      </c>
      <c r="Q813">
        <v>28.55</v>
      </c>
      <c r="R813">
        <v>7</v>
      </c>
      <c r="S813">
        <v>57.1</v>
      </c>
    </row>
    <row r="814" spans="16:19" x14ac:dyDescent="0.35">
      <c r="P814">
        <v>2</v>
      </c>
      <c r="Q814">
        <v>255.26</v>
      </c>
      <c r="R814">
        <v>6</v>
      </c>
      <c r="S814">
        <v>510.52</v>
      </c>
    </row>
    <row r="815" spans="16:19" x14ac:dyDescent="0.35">
      <c r="P815">
        <v>5</v>
      </c>
      <c r="Q815">
        <v>292.54000000000002</v>
      </c>
      <c r="R815">
        <v>8</v>
      </c>
      <c r="S815">
        <v>1462.7</v>
      </c>
    </row>
    <row r="816" spans="16:19" x14ac:dyDescent="0.35">
      <c r="P816">
        <v>4</v>
      </c>
      <c r="Q816">
        <v>147.51</v>
      </c>
      <c r="R816">
        <v>4</v>
      </c>
      <c r="S816">
        <v>590.04</v>
      </c>
    </row>
    <row r="817" spans="16:19" x14ac:dyDescent="0.35">
      <c r="P817">
        <v>3</v>
      </c>
      <c r="Q817">
        <v>569.84</v>
      </c>
      <c r="R817">
        <v>8</v>
      </c>
      <c r="S817">
        <v>1709.52</v>
      </c>
    </row>
    <row r="818" spans="16:19" x14ac:dyDescent="0.35">
      <c r="P818">
        <v>5</v>
      </c>
      <c r="Q818">
        <v>574.79</v>
      </c>
      <c r="R818">
        <v>8</v>
      </c>
      <c r="S818">
        <v>2873.95</v>
      </c>
    </row>
    <row r="819" spans="16:19" x14ac:dyDescent="0.35">
      <c r="P819">
        <v>4</v>
      </c>
      <c r="Q819">
        <v>598.19000000000005</v>
      </c>
      <c r="R819">
        <v>7</v>
      </c>
      <c r="S819">
        <v>2392.7600000000002</v>
      </c>
    </row>
    <row r="820" spans="16:19" x14ac:dyDescent="0.35">
      <c r="P820">
        <v>4</v>
      </c>
      <c r="Q820">
        <v>390.84</v>
      </c>
      <c r="R820">
        <v>9</v>
      </c>
      <c r="S820">
        <v>1563.36</v>
      </c>
    </row>
    <row r="821" spans="16:19" x14ac:dyDescent="0.35">
      <c r="P821">
        <v>2</v>
      </c>
      <c r="Q821">
        <v>398.45</v>
      </c>
      <c r="R821">
        <v>7</v>
      </c>
      <c r="S821">
        <v>796.9</v>
      </c>
    </row>
    <row r="822" spans="16:19" x14ac:dyDescent="0.35">
      <c r="P822">
        <v>5</v>
      </c>
      <c r="Q822">
        <v>623.80999999999995</v>
      </c>
      <c r="R822">
        <v>6</v>
      </c>
      <c r="S822">
        <v>3119.05</v>
      </c>
    </row>
    <row r="823" spans="16:19" x14ac:dyDescent="0.35">
      <c r="P823">
        <v>4</v>
      </c>
      <c r="Q823">
        <v>174.49</v>
      </c>
      <c r="R823">
        <v>5</v>
      </c>
      <c r="S823">
        <v>697.96</v>
      </c>
    </row>
    <row r="824" spans="16:19" x14ac:dyDescent="0.35">
      <c r="P824">
        <v>1</v>
      </c>
      <c r="Q824">
        <v>479.56</v>
      </c>
      <c r="R824">
        <v>1</v>
      </c>
      <c r="S824">
        <v>479.56</v>
      </c>
    </row>
    <row r="825" spans="16:19" x14ac:dyDescent="0.35">
      <c r="P825">
        <v>4</v>
      </c>
      <c r="Q825">
        <v>653.13</v>
      </c>
      <c r="R825">
        <v>8</v>
      </c>
      <c r="S825">
        <v>2612.52</v>
      </c>
    </row>
    <row r="826" spans="16:19" x14ac:dyDescent="0.35">
      <c r="P826">
        <v>3</v>
      </c>
      <c r="Q826">
        <v>481.1</v>
      </c>
      <c r="R826">
        <v>3</v>
      </c>
      <c r="S826">
        <v>1443.3</v>
      </c>
    </row>
    <row r="827" spans="16:19" x14ac:dyDescent="0.35">
      <c r="P827">
        <v>5</v>
      </c>
      <c r="Q827">
        <v>271.69</v>
      </c>
      <c r="R827">
        <v>7</v>
      </c>
      <c r="S827">
        <v>1358.45</v>
      </c>
    </row>
    <row r="828" spans="16:19" x14ac:dyDescent="0.35">
      <c r="P828">
        <v>3</v>
      </c>
      <c r="Q828">
        <v>463.81</v>
      </c>
      <c r="R828">
        <v>8</v>
      </c>
      <c r="S828">
        <v>1391.43</v>
      </c>
    </row>
    <row r="829" spans="16:19" x14ac:dyDescent="0.35">
      <c r="P829">
        <v>2</v>
      </c>
      <c r="Q829">
        <v>639.88</v>
      </c>
      <c r="R829">
        <v>5</v>
      </c>
      <c r="S829">
        <v>1279.76</v>
      </c>
    </row>
    <row r="830" spans="16:19" x14ac:dyDescent="0.35">
      <c r="P830">
        <v>4</v>
      </c>
      <c r="Q830">
        <v>404.58</v>
      </c>
      <c r="R830">
        <v>5</v>
      </c>
      <c r="S830">
        <v>1618.32</v>
      </c>
    </row>
    <row r="831" spans="16:19" x14ac:dyDescent="0.35">
      <c r="P831">
        <v>1</v>
      </c>
      <c r="Q831">
        <v>76.930000000000007</v>
      </c>
      <c r="R831">
        <v>6</v>
      </c>
      <c r="S831">
        <v>76.930000000000007</v>
      </c>
    </row>
    <row r="832" spans="16:19" x14ac:dyDescent="0.35">
      <c r="P832">
        <v>4</v>
      </c>
      <c r="Q832">
        <v>190.64</v>
      </c>
      <c r="R832">
        <v>5</v>
      </c>
      <c r="S832">
        <v>762.56</v>
      </c>
    </row>
    <row r="833" spans="16:19" x14ac:dyDescent="0.35">
      <c r="P833">
        <v>2</v>
      </c>
      <c r="Q833">
        <v>88.73</v>
      </c>
      <c r="R833">
        <v>5</v>
      </c>
      <c r="S833">
        <v>177.46</v>
      </c>
    </row>
    <row r="834" spans="16:19" x14ac:dyDescent="0.35">
      <c r="P834">
        <v>5</v>
      </c>
      <c r="Q834">
        <v>485.71</v>
      </c>
      <c r="R834">
        <v>10</v>
      </c>
      <c r="S834">
        <v>2428.5500000000002</v>
      </c>
    </row>
    <row r="835" spans="16:19" x14ac:dyDescent="0.35">
      <c r="P835">
        <v>5</v>
      </c>
      <c r="Q835">
        <v>78.290000000000006</v>
      </c>
      <c r="R835">
        <v>5</v>
      </c>
      <c r="S835">
        <v>391.45</v>
      </c>
    </row>
    <row r="836" spans="16:19" x14ac:dyDescent="0.35">
      <c r="P836">
        <v>5</v>
      </c>
      <c r="Q836">
        <v>22.14</v>
      </c>
      <c r="R836">
        <v>10</v>
      </c>
      <c r="S836">
        <v>110.7</v>
      </c>
    </row>
    <row r="837" spans="16:19" x14ac:dyDescent="0.35">
      <c r="P837">
        <v>1</v>
      </c>
      <c r="Q837">
        <v>679.65</v>
      </c>
      <c r="R837">
        <v>6</v>
      </c>
      <c r="S837">
        <v>679.65</v>
      </c>
    </row>
    <row r="838" spans="16:19" x14ac:dyDescent="0.35">
      <c r="P838">
        <v>1</v>
      </c>
      <c r="Q838">
        <v>178.44</v>
      </c>
      <c r="R838">
        <v>2</v>
      </c>
      <c r="S838">
        <v>178.44</v>
      </c>
    </row>
    <row r="839" spans="16:19" x14ac:dyDescent="0.35">
      <c r="P839">
        <v>5</v>
      </c>
      <c r="Q839">
        <v>655.55</v>
      </c>
      <c r="R839">
        <v>5</v>
      </c>
      <c r="S839">
        <v>3277.75</v>
      </c>
    </row>
    <row r="840" spans="16:19" x14ac:dyDescent="0.35">
      <c r="P840">
        <v>4</v>
      </c>
      <c r="Q840">
        <v>577.08000000000004</v>
      </c>
      <c r="R840">
        <v>8</v>
      </c>
      <c r="S840">
        <v>2308.3200000000002</v>
      </c>
    </row>
    <row r="841" spans="16:19" x14ac:dyDescent="0.35">
      <c r="P841">
        <v>3</v>
      </c>
      <c r="Q841">
        <v>197.97</v>
      </c>
      <c r="R841">
        <v>5</v>
      </c>
      <c r="S841">
        <v>593.91</v>
      </c>
    </row>
    <row r="842" spans="16:19" x14ac:dyDescent="0.35">
      <c r="P842">
        <v>3</v>
      </c>
      <c r="Q842">
        <v>411.95</v>
      </c>
      <c r="R842">
        <v>7</v>
      </c>
      <c r="S842">
        <v>1235.8499999999999</v>
      </c>
    </row>
    <row r="843" spans="16:19" x14ac:dyDescent="0.35">
      <c r="P843">
        <v>2</v>
      </c>
      <c r="Q843">
        <v>443.22</v>
      </c>
      <c r="R843">
        <v>5</v>
      </c>
      <c r="S843">
        <v>886.44</v>
      </c>
    </row>
    <row r="844" spans="16:19" x14ac:dyDescent="0.35">
      <c r="P844">
        <v>3</v>
      </c>
      <c r="Q844">
        <v>364.14</v>
      </c>
      <c r="R844">
        <v>7</v>
      </c>
      <c r="S844">
        <v>1092.42</v>
      </c>
    </row>
    <row r="845" spans="16:19" x14ac:dyDescent="0.35">
      <c r="P845">
        <v>3</v>
      </c>
      <c r="Q845">
        <v>430.06</v>
      </c>
      <c r="R845">
        <v>8</v>
      </c>
      <c r="S845">
        <v>1290.18</v>
      </c>
    </row>
    <row r="846" spans="16:19" x14ac:dyDescent="0.35">
      <c r="P846">
        <v>1</v>
      </c>
      <c r="Q846">
        <v>320.92</v>
      </c>
      <c r="R846">
        <v>5</v>
      </c>
      <c r="S846">
        <v>320.92</v>
      </c>
    </row>
    <row r="847" spans="16:19" x14ac:dyDescent="0.35">
      <c r="P847">
        <v>3</v>
      </c>
      <c r="Q847">
        <v>107.36</v>
      </c>
      <c r="R847">
        <v>5</v>
      </c>
      <c r="S847">
        <v>322.08</v>
      </c>
    </row>
    <row r="848" spans="16:19" x14ac:dyDescent="0.35">
      <c r="P848">
        <v>2</v>
      </c>
      <c r="Q848">
        <v>359.86</v>
      </c>
      <c r="R848">
        <v>4</v>
      </c>
      <c r="S848">
        <v>719.72</v>
      </c>
    </row>
    <row r="849" spans="16:19" x14ac:dyDescent="0.35">
      <c r="P849">
        <v>4</v>
      </c>
      <c r="Q849">
        <v>434.23</v>
      </c>
      <c r="R849">
        <v>8</v>
      </c>
      <c r="S849">
        <v>1736.92</v>
      </c>
    </row>
    <row r="850" spans="16:19" x14ac:dyDescent="0.35">
      <c r="P850">
        <v>2</v>
      </c>
      <c r="Q850">
        <v>645.85</v>
      </c>
      <c r="R850">
        <v>5</v>
      </c>
      <c r="S850">
        <v>1291.7</v>
      </c>
    </row>
    <row r="851" spans="16:19" x14ac:dyDescent="0.35">
      <c r="P851">
        <v>4</v>
      </c>
      <c r="Q851">
        <v>214.35</v>
      </c>
      <c r="R851">
        <v>7</v>
      </c>
      <c r="S851">
        <v>857.4</v>
      </c>
    </row>
    <row r="852" spans="16:19" x14ac:dyDescent="0.35">
      <c r="P852">
        <v>3</v>
      </c>
      <c r="Q852">
        <v>638.5</v>
      </c>
      <c r="R852">
        <v>4</v>
      </c>
      <c r="S852">
        <v>1915.5</v>
      </c>
    </row>
    <row r="853" spans="16:19" x14ac:dyDescent="0.35">
      <c r="P853">
        <v>1</v>
      </c>
      <c r="Q853">
        <v>365.57</v>
      </c>
      <c r="R853">
        <v>5</v>
      </c>
      <c r="S853">
        <v>365.57</v>
      </c>
    </row>
    <row r="854" spans="16:19" x14ac:dyDescent="0.35">
      <c r="P854">
        <v>3</v>
      </c>
      <c r="Q854">
        <v>568.04999999999995</v>
      </c>
      <c r="R854">
        <v>6</v>
      </c>
      <c r="S854">
        <v>1704.15</v>
      </c>
    </row>
    <row r="855" spans="16:19" x14ac:dyDescent="0.35">
      <c r="P855">
        <v>3</v>
      </c>
      <c r="Q855">
        <v>490.01</v>
      </c>
      <c r="R855">
        <v>4</v>
      </c>
      <c r="S855">
        <v>1470.03</v>
      </c>
    </row>
    <row r="856" spans="16:19" x14ac:dyDescent="0.35">
      <c r="P856">
        <v>3</v>
      </c>
      <c r="Q856">
        <v>372.6</v>
      </c>
      <c r="R856">
        <v>7</v>
      </c>
      <c r="S856">
        <v>1117.8</v>
      </c>
    </row>
    <row r="857" spans="16:19" x14ac:dyDescent="0.35">
      <c r="P857">
        <v>5</v>
      </c>
      <c r="Q857">
        <v>240.61</v>
      </c>
      <c r="R857">
        <v>10</v>
      </c>
      <c r="S857">
        <v>1203.05</v>
      </c>
    </row>
    <row r="858" spans="16:19" x14ac:dyDescent="0.35">
      <c r="P858">
        <v>1</v>
      </c>
      <c r="Q858">
        <v>586.62</v>
      </c>
      <c r="R858">
        <v>5</v>
      </c>
      <c r="S858">
        <v>586.62</v>
      </c>
    </row>
    <row r="859" spans="16:19" x14ac:dyDescent="0.35">
      <c r="P859">
        <v>3</v>
      </c>
      <c r="Q859">
        <v>257.83999999999997</v>
      </c>
      <c r="R859">
        <v>4</v>
      </c>
      <c r="S859">
        <v>773.52</v>
      </c>
    </row>
    <row r="860" spans="16:19" x14ac:dyDescent="0.35">
      <c r="P860">
        <v>5</v>
      </c>
      <c r="Q860">
        <v>435.66</v>
      </c>
      <c r="R860">
        <v>9</v>
      </c>
      <c r="S860">
        <v>2178.3000000000002</v>
      </c>
    </row>
    <row r="861" spans="16:19" x14ac:dyDescent="0.35">
      <c r="P861">
        <v>5</v>
      </c>
      <c r="Q861">
        <v>261.33</v>
      </c>
      <c r="R861">
        <v>5</v>
      </c>
      <c r="S861">
        <v>1306.6500000000001</v>
      </c>
    </row>
    <row r="862" spans="16:19" x14ac:dyDescent="0.35">
      <c r="P862">
        <v>1</v>
      </c>
      <c r="Q862">
        <v>422.54</v>
      </c>
      <c r="R862">
        <v>1</v>
      </c>
      <c r="S862">
        <v>422.54</v>
      </c>
    </row>
    <row r="863" spans="16:19" x14ac:dyDescent="0.35">
      <c r="P863">
        <v>5</v>
      </c>
      <c r="Q863">
        <v>330.45</v>
      </c>
      <c r="R863">
        <v>10</v>
      </c>
      <c r="S863">
        <v>1652.25</v>
      </c>
    </row>
    <row r="864" spans="16:19" x14ac:dyDescent="0.35">
      <c r="P864">
        <v>3</v>
      </c>
      <c r="Q864">
        <v>120.82</v>
      </c>
      <c r="R864">
        <v>5</v>
      </c>
      <c r="S864">
        <v>362.46</v>
      </c>
    </row>
    <row r="865" spans="16:19" x14ac:dyDescent="0.35">
      <c r="P865">
        <v>1</v>
      </c>
      <c r="Q865">
        <v>14.06</v>
      </c>
      <c r="R865">
        <v>5</v>
      </c>
      <c r="S865">
        <v>14.06</v>
      </c>
    </row>
    <row r="866" spans="16:19" x14ac:dyDescent="0.35">
      <c r="P866">
        <v>1</v>
      </c>
      <c r="Q866">
        <v>491.11</v>
      </c>
      <c r="R866">
        <v>4</v>
      </c>
      <c r="S866">
        <v>491.11</v>
      </c>
    </row>
    <row r="867" spans="16:19" x14ac:dyDescent="0.35">
      <c r="P867">
        <v>4</v>
      </c>
      <c r="Q867">
        <v>677.37</v>
      </c>
      <c r="R867">
        <v>8</v>
      </c>
      <c r="S867">
        <v>2709.48</v>
      </c>
    </row>
    <row r="868" spans="16:19" x14ac:dyDescent="0.35">
      <c r="P868">
        <v>5</v>
      </c>
      <c r="Q868">
        <v>189.25</v>
      </c>
      <c r="R868">
        <v>10</v>
      </c>
      <c r="S868">
        <v>946.25</v>
      </c>
    </row>
    <row r="869" spans="16:19" x14ac:dyDescent="0.35">
      <c r="P869">
        <v>4</v>
      </c>
      <c r="Q869">
        <v>142.58000000000001</v>
      </c>
      <c r="R869">
        <v>4</v>
      </c>
      <c r="S869">
        <v>570.32000000000005</v>
      </c>
    </row>
    <row r="870" spans="16:19" x14ac:dyDescent="0.35">
      <c r="P870">
        <v>4</v>
      </c>
      <c r="Q870">
        <v>316.32</v>
      </c>
      <c r="R870">
        <v>7</v>
      </c>
      <c r="S870">
        <v>1265.28</v>
      </c>
    </row>
    <row r="871" spans="16:19" x14ac:dyDescent="0.35">
      <c r="P871">
        <v>2</v>
      </c>
      <c r="Q871">
        <v>533.95000000000005</v>
      </c>
      <c r="R871">
        <v>5</v>
      </c>
      <c r="S871">
        <v>1067.9000000000001</v>
      </c>
    </row>
    <row r="872" spans="16:19" x14ac:dyDescent="0.35">
      <c r="P872">
        <v>4</v>
      </c>
      <c r="Q872">
        <v>470.09</v>
      </c>
      <c r="R872">
        <v>4</v>
      </c>
      <c r="S872">
        <v>1880.36</v>
      </c>
    </row>
    <row r="873" spans="16:19" x14ac:dyDescent="0.35">
      <c r="P873">
        <v>3</v>
      </c>
      <c r="Q873">
        <v>324.3</v>
      </c>
      <c r="R873">
        <v>8</v>
      </c>
      <c r="S873">
        <v>972.90000000000009</v>
      </c>
    </row>
    <row r="874" spans="16:19" x14ac:dyDescent="0.35">
      <c r="P874">
        <v>4</v>
      </c>
      <c r="Q874">
        <v>629.34</v>
      </c>
      <c r="R874">
        <v>7</v>
      </c>
      <c r="S874">
        <v>2517.36</v>
      </c>
    </row>
    <row r="875" spans="16:19" x14ac:dyDescent="0.35">
      <c r="P875">
        <v>3</v>
      </c>
      <c r="Q875">
        <v>136.84</v>
      </c>
      <c r="R875">
        <v>3</v>
      </c>
      <c r="S875">
        <v>410.52</v>
      </c>
    </row>
    <row r="876" spans="16:19" x14ac:dyDescent="0.35">
      <c r="P876">
        <v>2</v>
      </c>
      <c r="Q876">
        <v>488.9</v>
      </c>
      <c r="R876">
        <v>7</v>
      </c>
      <c r="S876">
        <v>977.8</v>
      </c>
    </row>
    <row r="877" spans="16:19" x14ac:dyDescent="0.35">
      <c r="P877">
        <v>5</v>
      </c>
      <c r="Q877">
        <v>133.38999999999999</v>
      </c>
      <c r="R877">
        <v>6</v>
      </c>
      <c r="S877">
        <v>666.94999999999993</v>
      </c>
    </row>
    <row r="878" spans="16:19" x14ac:dyDescent="0.35">
      <c r="P878">
        <v>5</v>
      </c>
      <c r="Q878">
        <v>608.91</v>
      </c>
      <c r="R878">
        <v>6</v>
      </c>
      <c r="S878">
        <v>3044.55</v>
      </c>
    </row>
    <row r="879" spans="16:19" x14ac:dyDescent="0.35">
      <c r="P879">
        <v>1</v>
      </c>
      <c r="Q879">
        <v>524.05999999999995</v>
      </c>
      <c r="R879">
        <v>3</v>
      </c>
      <c r="S879">
        <v>524.05999999999995</v>
      </c>
    </row>
    <row r="880" spans="16:19" x14ac:dyDescent="0.35">
      <c r="P880">
        <v>2</v>
      </c>
      <c r="Q880">
        <v>330.69</v>
      </c>
      <c r="R880">
        <v>5</v>
      </c>
      <c r="S880">
        <v>661.38</v>
      </c>
    </row>
    <row r="881" spans="16:19" x14ac:dyDescent="0.35">
      <c r="P881">
        <v>2</v>
      </c>
      <c r="Q881">
        <v>547.66999999999996</v>
      </c>
      <c r="R881">
        <v>3</v>
      </c>
      <c r="S881">
        <v>1095.3399999999999</v>
      </c>
    </row>
    <row r="882" spans="16:19" x14ac:dyDescent="0.35">
      <c r="P882">
        <v>4</v>
      </c>
      <c r="Q882">
        <v>233.7</v>
      </c>
      <c r="R882">
        <v>8</v>
      </c>
      <c r="S882">
        <v>934.8</v>
      </c>
    </row>
    <row r="883" spans="16:19" x14ac:dyDescent="0.35">
      <c r="P883">
        <v>2</v>
      </c>
      <c r="Q883">
        <v>448.85</v>
      </c>
      <c r="R883">
        <v>6</v>
      </c>
      <c r="S883">
        <v>897.7</v>
      </c>
    </row>
    <row r="884" spans="16:19" x14ac:dyDescent="0.35">
      <c r="P884">
        <v>2</v>
      </c>
      <c r="Q884">
        <v>274.12</v>
      </c>
      <c r="R884">
        <v>6</v>
      </c>
      <c r="S884">
        <v>548.24</v>
      </c>
    </row>
    <row r="885" spans="16:19" x14ac:dyDescent="0.35">
      <c r="P885">
        <v>5</v>
      </c>
      <c r="Q885">
        <v>561.48</v>
      </c>
      <c r="R885">
        <v>9</v>
      </c>
      <c r="S885">
        <v>2807.4</v>
      </c>
    </row>
    <row r="886" spans="16:19" x14ac:dyDescent="0.35">
      <c r="P886">
        <v>1</v>
      </c>
      <c r="Q886">
        <v>595.54</v>
      </c>
      <c r="R886">
        <v>4</v>
      </c>
      <c r="S886">
        <v>595.54</v>
      </c>
    </row>
    <row r="887" spans="16:19" x14ac:dyDescent="0.35">
      <c r="P887">
        <v>4</v>
      </c>
      <c r="Q887">
        <v>515.59</v>
      </c>
      <c r="R887">
        <v>7</v>
      </c>
      <c r="S887">
        <v>2062.36</v>
      </c>
    </row>
    <row r="888" spans="16:19" x14ac:dyDescent="0.35">
      <c r="P888">
        <v>1</v>
      </c>
      <c r="Q888">
        <v>460.13</v>
      </c>
      <c r="R888">
        <v>1</v>
      </c>
      <c r="S888">
        <v>460.13</v>
      </c>
    </row>
    <row r="889" spans="16:19" x14ac:dyDescent="0.35">
      <c r="P889">
        <v>3</v>
      </c>
      <c r="Q889">
        <v>171.66</v>
      </c>
      <c r="R889">
        <v>7</v>
      </c>
      <c r="S889">
        <v>514.98</v>
      </c>
    </row>
    <row r="890" spans="16:19" x14ac:dyDescent="0.35">
      <c r="P890">
        <v>2</v>
      </c>
      <c r="Q890">
        <v>266.95</v>
      </c>
      <c r="R890">
        <v>3</v>
      </c>
      <c r="S890">
        <v>533.9</v>
      </c>
    </row>
    <row r="891" spans="16:19" x14ac:dyDescent="0.35">
      <c r="P891">
        <v>5</v>
      </c>
      <c r="Q891">
        <v>650.72</v>
      </c>
      <c r="R891">
        <v>8</v>
      </c>
      <c r="S891">
        <v>3253.6</v>
      </c>
    </row>
    <row r="892" spans="16:19" x14ac:dyDescent="0.35">
      <c r="P892">
        <v>3</v>
      </c>
      <c r="Q892">
        <v>439.53</v>
      </c>
      <c r="R892">
        <v>5</v>
      </c>
      <c r="S892">
        <v>1318.59</v>
      </c>
    </row>
    <row r="893" spans="16:19" x14ac:dyDescent="0.35">
      <c r="P893">
        <v>3</v>
      </c>
      <c r="Q893">
        <v>654.54</v>
      </c>
      <c r="R893">
        <v>7</v>
      </c>
      <c r="S893">
        <v>1963.62</v>
      </c>
    </row>
    <row r="894" spans="16:19" x14ac:dyDescent="0.35">
      <c r="P894">
        <v>1</v>
      </c>
      <c r="Q894">
        <v>394.53</v>
      </c>
      <c r="R894">
        <v>2</v>
      </c>
      <c r="S894">
        <v>394.53</v>
      </c>
    </row>
    <row r="895" spans="16:19" x14ac:dyDescent="0.35">
      <c r="P895">
        <v>1</v>
      </c>
      <c r="Q895">
        <v>678.01</v>
      </c>
      <c r="R895">
        <v>4</v>
      </c>
      <c r="S895">
        <v>678.01</v>
      </c>
    </row>
    <row r="896" spans="16:19" x14ac:dyDescent="0.35">
      <c r="P896">
        <v>3</v>
      </c>
      <c r="Q896">
        <v>575.01</v>
      </c>
      <c r="R896">
        <v>8</v>
      </c>
      <c r="S896">
        <v>1725.03</v>
      </c>
    </row>
    <row r="897" spans="16:19" x14ac:dyDescent="0.35">
      <c r="P897">
        <v>3</v>
      </c>
      <c r="Q897">
        <v>154.63999999999999</v>
      </c>
      <c r="R897">
        <v>6</v>
      </c>
      <c r="S897">
        <v>463.92</v>
      </c>
    </row>
    <row r="898" spans="16:19" x14ac:dyDescent="0.35">
      <c r="P898">
        <v>3</v>
      </c>
      <c r="Q898">
        <v>147.29</v>
      </c>
      <c r="R898">
        <v>3</v>
      </c>
      <c r="S898">
        <v>441.87</v>
      </c>
    </row>
    <row r="899" spans="16:19" x14ac:dyDescent="0.35">
      <c r="P899">
        <v>4</v>
      </c>
      <c r="Q899">
        <v>481.48</v>
      </c>
      <c r="R899">
        <v>5</v>
      </c>
      <c r="S899">
        <v>1925.92</v>
      </c>
    </row>
    <row r="900" spans="16:19" x14ac:dyDescent="0.35">
      <c r="P900">
        <v>3</v>
      </c>
      <c r="Q900">
        <v>158.37</v>
      </c>
      <c r="R900">
        <v>6</v>
      </c>
      <c r="S900">
        <v>475.11</v>
      </c>
    </row>
    <row r="901" spans="16:19" x14ac:dyDescent="0.35">
      <c r="P901">
        <v>2</v>
      </c>
      <c r="Q901">
        <v>323.37</v>
      </c>
      <c r="R901">
        <v>3</v>
      </c>
      <c r="S901">
        <v>646.74</v>
      </c>
    </row>
    <row r="902" spans="16:19" x14ac:dyDescent="0.35">
      <c r="P902">
        <v>5</v>
      </c>
      <c r="Q902">
        <v>73.83</v>
      </c>
      <c r="R902">
        <v>9</v>
      </c>
      <c r="S902">
        <v>369.15</v>
      </c>
    </row>
    <row r="903" spans="16:19" x14ac:dyDescent="0.35">
      <c r="P903">
        <v>1</v>
      </c>
      <c r="Q903">
        <v>458.63</v>
      </c>
      <c r="R903">
        <v>4</v>
      </c>
      <c r="S903">
        <v>458.63</v>
      </c>
    </row>
    <row r="904" spans="16:19" x14ac:dyDescent="0.35">
      <c r="P904">
        <v>4</v>
      </c>
      <c r="Q904">
        <v>180.25</v>
      </c>
      <c r="R904">
        <v>7</v>
      </c>
      <c r="S904">
        <v>721</v>
      </c>
    </row>
    <row r="905" spans="16:19" x14ac:dyDescent="0.35">
      <c r="P905">
        <v>3</v>
      </c>
      <c r="Q905">
        <v>473.49</v>
      </c>
      <c r="R905">
        <v>7</v>
      </c>
      <c r="S905">
        <v>1420.47</v>
      </c>
    </row>
    <row r="906" spans="16:19" x14ac:dyDescent="0.35">
      <c r="P906">
        <v>4</v>
      </c>
      <c r="Q906">
        <v>237.43</v>
      </c>
      <c r="R906">
        <v>8</v>
      </c>
      <c r="S906">
        <v>949.72</v>
      </c>
    </row>
    <row r="907" spans="16:19" x14ac:dyDescent="0.35">
      <c r="P907">
        <v>1</v>
      </c>
      <c r="Q907">
        <v>442.39</v>
      </c>
      <c r="R907">
        <v>6</v>
      </c>
      <c r="S907">
        <v>442.39</v>
      </c>
    </row>
    <row r="908" spans="16:19" x14ac:dyDescent="0.35">
      <c r="P908">
        <v>1</v>
      </c>
      <c r="Q908">
        <v>62.12</v>
      </c>
      <c r="R908">
        <v>2</v>
      </c>
      <c r="S908">
        <v>62.12</v>
      </c>
    </row>
    <row r="909" spans="16:19" x14ac:dyDescent="0.35">
      <c r="P909">
        <v>5</v>
      </c>
      <c r="Q909">
        <v>298.39</v>
      </c>
      <c r="R909">
        <v>7</v>
      </c>
      <c r="S909">
        <v>1491.95</v>
      </c>
    </row>
    <row r="910" spans="16:19" x14ac:dyDescent="0.35">
      <c r="P910">
        <v>2</v>
      </c>
      <c r="Q910">
        <v>697.93</v>
      </c>
      <c r="R910">
        <v>2</v>
      </c>
      <c r="S910">
        <v>1395.86</v>
      </c>
    </row>
    <row r="911" spans="16:19" x14ac:dyDescent="0.35">
      <c r="P911">
        <v>2</v>
      </c>
      <c r="Q911">
        <v>291.85000000000002</v>
      </c>
      <c r="R911">
        <v>5</v>
      </c>
      <c r="S911">
        <v>583.70000000000005</v>
      </c>
    </row>
    <row r="912" spans="16:19" x14ac:dyDescent="0.35">
      <c r="P912">
        <v>3</v>
      </c>
      <c r="Q912">
        <v>308.98</v>
      </c>
      <c r="R912">
        <v>3</v>
      </c>
      <c r="S912">
        <v>926.94</v>
      </c>
    </row>
    <row r="913" spans="16:19" x14ac:dyDescent="0.35">
      <c r="P913">
        <v>5</v>
      </c>
      <c r="Q913">
        <v>396.86</v>
      </c>
      <c r="R913">
        <v>9</v>
      </c>
      <c r="S913">
        <v>1984.3</v>
      </c>
    </row>
    <row r="914" spans="16:19" x14ac:dyDescent="0.35">
      <c r="P914">
        <v>2</v>
      </c>
      <c r="Q914">
        <v>139.69</v>
      </c>
      <c r="R914">
        <v>7</v>
      </c>
      <c r="S914">
        <v>279.38</v>
      </c>
    </row>
    <row r="915" spans="16:19" x14ac:dyDescent="0.35">
      <c r="P915">
        <v>5</v>
      </c>
      <c r="Q915">
        <v>475.95</v>
      </c>
      <c r="R915">
        <v>8</v>
      </c>
      <c r="S915">
        <v>2379.75</v>
      </c>
    </row>
    <row r="916" spans="16:19" x14ac:dyDescent="0.35">
      <c r="P916">
        <v>1</v>
      </c>
      <c r="Q916">
        <v>626.6</v>
      </c>
      <c r="R916">
        <v>4</v>
      </c>
      <c r="S916">
        <v>626.6</v>
      </c>
    </row>
    <row r="917" spans="16:19" x14ac:dyDescent="0.35">
      <c r="P917">
        <v>4</v>
      </c>
      <c r="Q917">
        <v>502.99</v>
      </c>
      <c r="R917">
        <v>4</v>
      </c>
      <c r="S917">
        <v>2011.96</v>
      </c>
    </row>
    <row r="918" spans="16:19" x14ac:dyDescent="0.35">
      <c r="P918">
        <v>5</v>
      </c>
      <c r="Q918">
        <v>578.83000000000004</v>
      </c>
      <c r="R918">
        <v>6</v>
      </c>
      <c r="S918">
        <v>2894.15</v>
      </c>
    </row>
    <row r="919" spans="16:19" x14ac:dyDescent="0.35">
      <c r="P919">
        <v>5</v>
      </c>
      <c r="Q919">
        <v>383.82</v>
      </c>
      <c r="R919">
        <v>7</v>
      </c>
      <c r="S919">
        <v>1919.1</v>
      </c>
    </row>
    <row r="920" spans="16:19" x14ac:dyDescent="0.35">
      <c r="P920">
        <v>5</v>
      </c>
      <c r="Q920">
        <v>368.25</v>
      </c>
      <c r="R920">
        <v>5</v>
      </c>
      <c r="S920">
        <v>1841.25</v>
      </c>
    </row>
    <row r="921" spans="16:19" x14ac:dyDescent="0.35">
      <c r="P921">
        <v>2</v>
      </c>
      <c r="Q921">
        <v>374.6</v>
      </c>
      <c r="R921">
        <v>3</v>
      </c>
      <c r="S921">
        <v>749.2</v>
      </c>
    </row>
    <row r="922" spans="16:19" x14ac:dyDescent="0.35">
      <c r="P922">
        <v>2</v>
      </c>
      <c r="Q922">
        <v>428.09</v>
      </c>
      <c r="R922">
        <v>6</v>
      </c>
      <c r="S922">
        <v>856.18</v>
      </c>
    </row>
    <row r="923" spans="16:19" x14ac:dyDescent="0.35">
      <c r="P923">
        <v>1</v>
      </c>
      <c r="Q923">
        <v>438.93</v>
      </c>
      <c r="R923">
        <v>3</v>
      </c>
      <c r="S923">
        <v>438.93</v>
      </c>
    </row>
    <row r="924" spans="16:19" x14ac:dyDescent="0.35">
      <c r="P924">
        <v>2</v>
      </c>
      <c r="Q924">
        <v>563.82000000000005</v>
      </c>
      <c r="R924">
        <v>3</v>
      </c>
      <c r="S924">
        <v>1127.6400000000001</v>
      </c>
    </row>
    <row r="925" spans="16:19" x14ac:dyDescent="0.35">
      <c r="P925">
        <v>3</v>
      </c>
      <c r="Q925">
        <v>649.92999999999995</v>
      </c>
      <c r="R925">
        <v>7</v>
      </c>
      <c r="S925">
        <v>1949.79</v>
      </c>
    </row>
    <row r="926" spans="16:19" x14ac:dyDescent="0.35">
      <c r="P926">
        <v>5</v>
      </c>
      <c r="Q926">
        <v>268.43</v>
      </c>
      <c r="R926">
        <v>5</v>
      </c>
      <c r="S926">
        <v>1342.15</v>
      </c>
    </row>
    <row r="927" spans="16:19" x14ac:dyDescent="0.35">
      <c r="P927">
        <v>5</v>
      </c>
      <c r="Q927">
        <v>502.47</v>
      </c>
      <c r="R927">
        <v>10</v>
      </c>
      <c r="S927">
        <v>2512.35</v>
      </c>
    </row>
    <row r="928" spans="16:19" x14ac:dyDescent="0.35">
      <c r="P928">
        <v>1</v>
      </c>
      <c r="Q928">
        <v>26.95</v>
      </c>
      <c r="R928">
        <v>1</v>
      </c>
      <c r="S928">
        <v>26.95</v>
      </c>
    </row>
    <row r="929" spans="16:19" x14ac:dyDescent="0.35">
      <c r="P929">
        <v>4</v>
      </c>
      <c r="Q929">
        <v>64.69</v>
      </c>
      <c r="R929">
        <v>7</v>
      </c>
      <c r="S929">
        <v>258.76</v>
      </c>
    </row>
    <row r="930" spans="16:19" x14ac:dyDescent="0.35">
      <c r="P930">
        <v>3</v>
      </c>
      <c r="Q930">
        <v>247.11</v>
      </c>
      <c r="R930">
        <v>3</v>
      </c>
      <c r="S930">
        <v>741.33</v>
      </c>
    </row>
    <row r="931" spans="16:19" x14ac:dyDescent="0.35">
      <c r="P931">
        <v>2</v>
      </c>
      <c r="Q931">
        <v>536.25</v>
      </c>
      <c r="R931">
        <v>3</v>
      </c>
      <c r="S931">
        <v>1072.5</v>
      </c>
    </row>
    <row r="932" spans="16:19" x14ac:dyDescent="0.35">
      <c r="P932">
        <v>2</v>
      </c>
      <c r="Q932">
        <v>456.04</v>
      </c>
      <c r="R932">
        <v>4</v>
      </c>
      <c r="S932">
        <v>912.08</v>
      </c>
    </row>
    <row r="933" spans="16:19" x14ac:dyDescent="0.35">
      <c r="P933">
        <v>2</v>
      </c>
      <c r="Q933">
        <v>40.229999999999997</v>
      </c>
      <c r="R933">
        <v>4</v>
      </c>
      <c r="S933">
        <v>80.459999999999994</v>
      </c>
    </row>
    <row r="934" spans="16:19" x14ac:dyDescent="0.35">
      <c r="P934">
        <v>2</v>
      </c>
      <c r="Q934">
        <v>72.39</v>
      </c>
      <c r="R934">
        <v>7</v>
      </c>
      <c r="S934">
        <v>144.78</v>
      </c>
    </row>
    <row r="935" spans="16:19" x14ac:dyDescent="0.35">
      <c r="P935">
        <v>2</v>
      </c>
      <c r="Q935">
        <v>394.16</v>
      </c>
      <c r="R935">
        <v>2</v>
      </c>
      <c r="S935">
        <v>788.32</v>
      </c>
    </row>
    <row r="936" spans="16:19" x14ac:dyDescent="0.35">
      <c r="P936">
        <v>4</v>
      </c>
      <c r="Q936">
        <v>119.84</v>
      </c>
      <c r="R936">
        <v>8</v>
      </c>
      <c r="S936">
        <v>479.36</v>
      </c>
    </row>
    <row r="937" spans="16:19" x14ac:dyDescent="0.35">
      <c r="P937">
        <v>3</v>
      </c>
      <c r="Q937">
        <v>692.71</v>
      </c>
      <c r="R937">
        <v>3</v>
      </c>
      <c r="S937">
        <v>2078.13</v>
      </c>
    </row>
    <row r="938" spans="16:19" x14ac:dyDescent="0.35">
      <c r="P938">
        <v>4</v>
      </c>
      <c r="Q938">
        <v>56.66</v>
      </c>
      <c r="R938">
        <v>4</v>
      </c>
      <c r="S938">
        <v>226.64</v>
      </c>
    </row>
    <row r="939" spans="16:19" x14ac:dyDescent="0.35">
      <c r="P939">
        <v>2</v>
      </c>
      <c r="Q939">
        <v>298.52999999999997</v>
      </c>
      <c r="R939">
        <v>5</v>
      </c>
      <c r="S939">
        <v>597.05999999999995</v>
      </c>
    </row>
    <row r="940" spans="16:19" x14ac:dyDescent="0.35">
      <c r="P940">
        <v>3</v>
      </c>
      <c r="Q940">
        <v>331.46</v>
      </c>
      <c r="R940">
        <v>6</v>
      </c>
      <c r="S940">
        <v>994.37999999999988</v>
      </c>
    </row>
    <row r="941" spans="16:19" x14ac:dyDescent="0.35">
      <c r="P941">
        <v>2</v>
      </c>
      <c r="Q941">
        <v>521.4</v>
      </c>
      <c r="R941">
        <v>7</v>
      </c>
      <c r="S941">
        <v>1042.8</v>
      </c>
    </row>
    <row r="942" spans="16:19" x14ac:dyDescent="0.35">
      <c r="P942">
        <v>4</v>
      </c>
      <c r="Q942">
        <v>305.32</v>
      </c>
      <c r="R942">
        <v>4</v>
      </c>
      <c r="S942">
        <v>1221.28</v>
      </c>
    </row>
    <row r="943" spans="16:19" x14ac:dyDescent="0.35">
      <c r="P943">
        <v>5</v>
      </c>
      <c r="Q943">
        <v>111.7</v>
      </c>
      <c r="R943">
        <v>9</v>
      </c>
      <c r="S943">
        <v>558.5</v>
      </c>
    </row>
    <row r="944" spans="16:19" x14ac:dyDescent="0.35">
      <c r="P944">
        <v>1</v>
      </c>
      <c r="Q944">
        <v>479.76</v>
      </c>
      <c r="R944">
        <v>1</v>
      </c>
      <c r="S944">
        <v>479.76</v>
      </c>
    </row>
    <row r="945" spans="16:19" x14ac:dyDescent="0.35">
      <c r="P945">
        <v>3</v>
      </c>
      <c r="Q945">
        <v>193.49</v>
      </c>
      <c r="R945">
        <v>6</v>
      </c>
      <c r="S945">
        <v>580.47</v>
      </c>
    </row>
    <row r="946" spans="16:19" x14ac:dyDescent="0.35">
      <c r="P946">
        <v>2</v>
      </c>
      <c r="Q946">
        <v>426.22</v>
      </c>
      <c r="R946">
        <v>7</v>
      </c>
      <c r="S946">
        <v>852.44</v>
      </c>
    </row>
    <row r="947" spans="16:19" x14ac:dyDescent="0.35">
      <c r="P947">
        <v>5</v>
      </c>
      <c r="Q947">
        <v>276.44</v>
      </c>
      <c r="R947">
        <v>10</v>
      </c>
      <c r="S947">
        <v>1382.2</v>
      </c>
    </row>
    <row r="948" spans="16:19" x14ac:dyDescent="0.35">
      <c r="P948">
        <v>2</v>
      </c>
      <c r="Q948">
        <v>404.96</v>
      </c>
      <c r="R948">
        <v>4</v>
      </c>
      <c r="S948">
        <v>809.92</v>
      </c>
    </row>
    <row r="949" spans="16:19" x14ac:dyDescent="0.35">
      <c r="P949">
        <v>4</v>
      </c>
      <c r="Q949">
        <v>465.66</v>
      </c>
      <c r="R949">
        <v>9</v>
      </c>
      <c r="S949">
        <v>1862.64</v>
      </c>
    </row>
    <row r="950" spans="16:19" x14ac:dyDescent="0.35">
      <c r="P950">
        <v>2</v>
      </c>
      <c r="Q950">
        <v>594.07000000000005</v>
      </c>
      <c r="R950">
        <v>2</v>
      </c>
      <c r="S950">
        <v>1188.1400000000001</v>
      </c>
    </row>
    <row r="951" spans="16:19" x14ac:dyDescent="0.35">
      <c r="P951">
        <v>5</v>
      </c>
      <c r="Q951">
        <v>110.38</v>
      </c>
      <c r="R951">
        <v>10</v>
      </c>
      <c r="S951">
        <v>551.9</v>
      </c>
    </row>
    <row r="952" spans="16:19" x14ac:dyDescent="0.35">
      <c r="P952">
        <v>1</v>
      </c>
      <c r="Q952">
        <v>596.24</v>
      </c>
      <c r="R952">
        <v>4</v>
      </c>
      <c r="S952">
        <v>596.24</v>
      </c>
    </row>
    <row r="953" spans="16:19" x14ac:dyDescent="0.35">
      <c r="P953">
        <v>2</v>
      </c>
      <c r="Q953">
        <v>306.24</v>
      </c>
      <c r="R953">
        <v>4</v>
      </c>
      <c r="S953">
        <v>612.48</v>
      </c>
    </row>
    <row r="954" spans="16:19" x14ac:dyDescent="0.35">
      <c r="P954">
        <v>3</v>
      </c>
      <c r="Q954">
        <v>503.39</v>
      </c>
      <c r="R954">
        <v>5</v>
      </c>
      <c r="S954">
        <v>1510.17</v>
      </c>
    </row>
    <row r="955" spans="16:19" x14ac:dyDescent="0.35">
      <c r="P955">
        <v>1</v>
      </c>
      <c r="Q955">
        <v>131.61000000000001</v>
      </c>
      <c r="R955">
        <v>2</v>
      </c>
      <c r="S955">
        <v>131.61000000000001</v>
      </c>
    </row>
    <row r="956" spans="16:19" x14ac:dyDescent="0.35">
      <c r="P956">
        <v>3</v>
      </c>
      <c r="Q956">
        <v>443.44</v>
      </c>
      <c r="R956">
        <v>3</v>
      </c>
      <c r="S956">
        <v>1330.32</v>
      </c>
    </row>
    <row r="957" spans="16:19" x14ac:dyDescent="0.35">
      <c r="P957">
        <v>1</v>
      </c>
      <c r="Q957">
        <v>408.13</v>
      </c>
      <c r="R957">
        <v>3</v>
      </c>
      <c r="S957">
        <v>408.13</v>
      </c>
    </row>
    <row r="958" spans="16:19" x14ac:dyDescent="0.35">
      <c r="P958">
        <v>2</v>
      </c>
      <c r="Q958">
        <v>160.97999999999999</v>
      </c>
      <c r="R958">
        <v>3</v>
      </c>
      <c r="S958">
        <v>321.95999999999998</v>
      </c>
    </row>
    <row r="959" spans="16:19" x14ac:dyDescent="0.35">
      <c r="P959">
        <v>5</v>
      </c>
      <c r="Q959">
        <v>643.89</v>
      </c>
      <c r="R959">
        <v>8</v>
      </c>
      <c r="S959">
        <v>3219.45</v>
      </c>
    </row>
    <row r="960" spans="16:19" x14ac:dyDescent="0.35">
      <c r="P960">
        <v>3</v>
      </c>
      <c r="Q960">
        <v>158.66</v>
      </c>
      <c r="R960">
        <v>7</v>
      </c>
      <c r="S960">
        <v>475.98</v>
      </c>
    </row>
    <row r="961" spans="16:19" x14ac:dyDescent="0.35">
      <c r="P961">
        <v>2</v>
      </c>
      <c r="Q961">
        <v>143.82</v>
      </c>
      <c r="R961">
        <v>6</v>
      </c>
      <c r="S961">
        <v>287.64</v>
      </c>
    </row>
    <row r="962" spans="16:19" x14ac:dyDescent="0.35">
      <c r="P962">
        <v>3</v>
      </c>
      <c r="Q962">
        <v>379.07</v>
      </c>
      <c r="R962">
        <v>3</v>
      </c>
      <c r="S962">
        <v>1137.21</v>
      </c>
    </row>
    <row r="963" spans="16:19" x14ac:dyDescent="0.35">
      <c r="P963">
        <v>1</v>
      </c>
      <c r="Q963">
        <v>601.36</v>
      </c>
      <c r="R963">
        <v>1</v>
      </c>
      <c r="S963">
        <v>601.36</v>
      </c>
    </row>
    <row r="964" spans="16:19" x14ac:dyDescent="0.35">
      <c r="P964">
        <v>2</v>
      </c>
      <c r="Q964">
        <v>142.08000000000001</v>
      </c>
      <c r="R964">
        <v>4</v>
      </c>
      <c r="S964">
        <v>284.16000000000003</v>
      </c>
    </row>
    <row r="965" spans="16:19" x14ac:dyDescent="0.35">
      <c r="P965">
        <v>5</v>
      </c>
      <c r="Q965">
        <v>530.34</v>
      </c>
      <c r="R965">
        <v>9</v>
      </c>
      <c r="S965">
        <v>2651.7</v>
      </c>
    </row>
    <row r="966" spans="16:19" x14ac:dyDescent="0.35">
      <c r="P966">
        <v>5</v>
      </c>
      <c r="Q966">
        <v>364.42</v>
      </c>
      <c r="R966">
        <v>10</v>
      </c>
      <c r="S966">
        <v>1822.1</v>
      </c>
    </row>
    <row r="967" spans="16:19" x14ac:dyDescent="0.35">
      <c r="P967">
        <v>4</v>
      </c>
      <c r="Q967">
        <v>578.28</v>
      </c>
      <c r="R967">
        <v>5</v>
      </c>
      <c r="S967">
        <v>2313.12</v>
      </c>
    </row>
    <row r="968" spans="16:19" x14ac:dyDescent="0.35">
      <c r="P968">
        <v>5</v>
      </c>
      <c r="Q968">
        <v>280.52</v>
      </c>
      <c r="R968">
        <v>7</v>
      </c>
      <c r="S968">
        <v>1402.6</v>
      </c>
    </row>
    <row r="969" spans="16:19" x14ac:dyDescent="0.35">
      <c r="P969">
        <v>5</v>
      </c>
      <c r="Q969">
        <v>638.91999999999996</v>
      </c>
      <c r="R969">
        <v>5</v>
      </c>
      <c r="S969">
        <v>3194.6</v>
      </c>
    </row>
    <row r="970" spans="16:19" x14ac:dyDescent="0.35">
      <c r="P970">
        <v>4</v>
      </c>
      <c r="Q970">
        <v>412.2</v>
      </c>
      <c r="R970">
        <v>6</v>
      </c>
      <c r="S970">
        <v>1648.8</v>
      </c>
    </row>
    <row r="971" spans="16:19" x14ac:dyDescent="0.35">
      <c r="P971">
        <v>1</v>
      </c>
      <c r="Q971">
        <v>440.34</v>
      </c>
      <c r="R971">
        <v>2</v>
      </c>
      <c r="S971">
        <v>440.34</v>
      </c>
    </row>
    <row r="972" spans="16:19" x14ac:dyDescent="0.35">
      <c r="P972">
        <v>1</v>
      </c>
      <c r="Q972">
        <v>627.15</v>
      </c>
      <c r="R972">
        <v>5</v>
      </c>
      <c r="S972">
        <v>627.15</v>
      </c>
    </row>
    <row r="973" spans="16:19" x14ac:dyDescent="0.35">
      <c r="P973">
        <v>2</v>
      </c>
      <c r="Q973">
        <v>605.26</v>
      </c>
      <c r="R973">
        <v>4</v>
      </c>
      <c r="S973">
        <v>1210.52</v>
      </c>
    </row>
    <row r="974" spans="16:19" x14ac:dyDescent="0.35">
      <c r="P974">
        <v>1</v>
      </c>
      <c r="Q974">
        <v>90.27</v>
      </c>
      <c r="R974">
        <v>5</v>
      </c>
      <c r="S974">
        <v>90.27</v>
      </c>
    </row>
    <row r="975" spans="16:19" x14ac:dyDescent="0.35">
      <c r="P975">
        <v>5</v>
      </c>
      <c r="Q975">
        <v>230.77</v>
      </c>
      <c r="R975">
        <v>10</v>
      </c>
      <c r="S975">
        <v>1153.8499999999999</v>
      </c>
    </row>
    <row r="976" spans="16:19" x14ac:dyDescent="0.35">
      <c r="P976">
        <v>5</v>
      </c>
      <c r="Q976">
        <v>266.77999999999997</v>
      </c>
      <c r="R976">
        <v>5</v>
      </c>
      <c r="S976">
        <v>1333.9</v>
      </c>
    </row>
    <row r="977" spans="16:19" x14ac:dyDescent="0.35">
      <c r="P977">
        <v>1</v>
      </c>
      <c r="Q977">
        <v>105.92</v>
      </c>
      <c r="R977">
        <v>6</v>
      </c>
      <c r="S977">
        <v>105.92</v>
      </c>
    </row>
    <row r="978" spans="16:19" x14ac:dyDescent="0.35">
      <c r="P978">
        <v>3</v>
      </c>
      <c r="Q978">
        <v>589.29999999999995</v>
      </c>
      <c r="R978">
        <v>6</v>
      </c>
      <c r="S978">
        <v>1767.9</v>
      </c>
    </row>
    <row r="979" spans="16:19" x14ac:dyDescent="0.35">
      <c r="P979">
        <v>4</v>
      </c>
      <c r="Q979">
        <v>649.47</v>
      </c>
      <c r="R979">
        <v>8</v>
      </c>
      <c r="S979">
        <v>2597.88</v>
      </c>
    </row>
    <row r="980" spans="16:19" x14ac:dyDescent="0.35">
      <c r="P980">
        <v>4</v>
      </c>
      <c r="Q980">
        <v>107.49</v>
      </c>
      <c r="R980">
        <v>5</v>
      </c>
      <c r="S980">
        <v>429.96</v>
      </c>
    </row>
    <row r="981" spans="16:19" x14ac:dyDescent="0.35">
      <c r="P981">
        <v>3</v>
      </c>
      <c r="Q981">
        <v>669.06</v>
      </c>
      <c r="R981">
        <v>7</v>
      </c>
      <c r="S981">
        <v>2007.18</v>
      </c>
    </row>
    <row r="982" spans="16:19" x14ac:dyDescent="0.35">
      <c r="P982">
        <v>3</v>
      </c>
      <c r="Q982">
        <v>69.650000000000006</v>
      </c>
      <c r="R982">
        <v>7</v>
      </c>
      <c r="S982">
        <v>208.95</v>
      </c>
    </row>
    <row r="983" spans="16:19" x14ac:dyDescent="0.35">
      <c r="P983">
        <v>4</v>
      </c>
      <c r="Q983">
        <v>136.83000000000001</v>
      </c>
      <c r="R983">
        <v>8</v>
      </c>
      <c r="S983">
        <v>547.32000000000005</v>
      </c>
    </row>
    <row r="984" spans="16:19" x14ac:dyDescent="0.35">
      <c r="P984">
        <v>1</v>
      </c>
      <c r="Q984">
        <v>304.11</v>
      </c>
      <c r="R984">
        <v>2</v>
      </c>
      <c r="S984">
        <v>304.11</v>
      </c>
    </row>
    <row r="985" spans="16:19" x14ac:dyDescent="0.35">
      <c r="P985">
        <v>4</v>
      </c>
      <c r="Q985">
        <v>296.27999999999997</v>
      </c>
      <c r="R985">
        <v>5</v>
      </c>
      <c r="S985">
        <v>1185.1199999999999</v>
      </c>
    </row>
    <row r="986" spans="16:19" x14ac:dyDescent="0.35">
      <c r="P986">
        <v>1</v>
      </c>
      <c r="Q986">
        <v>77.64</v>
      </c>
      <c r="R986">
        <v>1</v>
      </c>
      <c r="S986">
        <v>77.64</v>
      </c>
    </row>
    <row r="987" spans="16:19" x14ac:dyDescent="0.35">
      <c r="P987">
        <v>1</v>
      </c>
      <c r="Q987">
        <v>243.71</v>
      </c>
      <c r="R987">
        <v>6</v>
      </c>
      <c r="S987">
        <v>243.71</v>
      </c>
    </row>
    <row r="988" spans="16:19" x14ac:dyDescent="0.35">
      <c r="P988">
        <v>4</v>
      </c>
      <c r="Q988">
        <v>644.96</v>
      </c>
      <c r="R988">
        <v>7</v>
      </c>
      <c r="S988">
        <v>2579.84</v>
      </c>
    </row>
    <row r="989" spans="16:19" x14ac:dyDescent="0.35">
      <c r="P989">
        <v>5</v>
      </c>
      <c r="Q989">
        <v>283.73</v>
      </c>
      <c r="R989">
        <v>8</v>
      </c>
      <c r="S989">
        <v>1418.65</v>
      </c>
    </row>
    <row r="990" spans="16:19" x14ac:dyDescent="0.35">
      <c r="P990">
        <v>2</v>
      </c>
      <c r="Q990">
        <v>629.55999999999995</v>
      </c>
      <c r="R990">
        <v>5</v>
      </c>
      <c r="S990">
        <v>1259.1199999999999</v>
      </c>
    </row>
    <row r="991" spans="16:19" x14ac:dyDescent="0.35">
      <c r="P991">
        <v>4</v>
      </c>
      <c r="Q991">
        <v>246.11</v>
      </c>
      <c r="R991">
        <v>4</v>
      </c>
      <c r="S991">
        <v>984.44</v>
      </c>
    </row>
    <row r="992" spans="16:19" x14ac:dyDescent="0.35">
      <c r="P992">
        <v>2</v>
      </c>
      <c r="Q992">
        <v>418.26</v>
      </c>
      <c r="R992">
        <v>2</v>
      </c>
      <c r="S992">
        <v>836.52</v>
      </c>
    </row>
    <row r="993" spans="16:19" x14ac:dyDescent="0.35">
      <c r="P993">
        <v>5</v>
      </c>
      <c r="Q993">
        <v>127.18</v>
      </c>
      <c r="R993">
        <v>10</v>
      </c>
      <c r="S993">
        <v>635.90000000000009</v>
      </c>
    </row>
    <row r="994" spans="16:19" x14ac:dyDescent="0.35">
      <c r="P994">
        <v>3</v>
      </c>
      <c r="Q994">
        <v>586.21</v>
      </c>
      <c r="R994">
        <v>4</v>
      </c>
      <c r="S994">
        <v>1758.63</v>
      </c>
    </row>
    <row r="995" spans="16:19" x14ac:dyDescent="0.35">
      <c r="P995">
        <v>3</v>
      </c>
      <c r="Q995">
        <v>267.45</v>
      </c>
      <c r="R995">
        <v>5</v>
      </c>
      <c r="S995">
        <v>802.34999999999991</v>
      </c>
    </row>
    <row r="996" spans="16:19" x14ac:dyDescent="0.35">
      <c r="P996">
        <v>4</v>
      </c>
      <c r="Q996">
        <v>615.65</v>
      </c>
      <c r="R996">
        <v>9</v>
      </c>
      <c r="S996">
        <v>2462.6</v>
      </c>
    </row>
    <row r="997" spans="16:19" x14ac:dyDescent="0.35">
      <c r="P997">
        <v>2</v>
      </c>
      <c r="Q997">
        <v>113.29</v>
      </c>
      <c r="R997">
        <v>5</v>
      </c>
      <c r="S997">
        <v>226.58</v>
      </c>
    </row>
    <row r="998" spans="16:19" x14ac:dyDescent="0.35">
      <c r="P998">
        <v>4</v>
      </c>
      <c r="Q998">
        <v>473.86</v>
      </c>
      <c r="R998">
        <v>7</v>
      </c>
      <c r="S998">
        <v>1895.44</v>
      </c>
    </row>
    <row r="999" spans="16:19" x14ac:dyDescent="0.35">
      <c r="P999">
        <v>3</v>
      </c>
      <c r="Q999">
        <v>444.75</v>
      </c>
      <c r="R999">
        <v>6</v>
      </c>
      <c r="S999">
        <v>1334.25</v>
      </c>
    </row>
    <row r="1000" spans="16:19" x14ac:dyDescent="0.35">
      <c r="P1000">
        <v>2</v>
      </c>
      <c r="Q1000">
        <v>183.67</v>
      </c>
      <c r="R1000">
        <v>6</v>
      </c>
      <c r="S1000">
        <v>367.34</v>
      </c>
    </row>
    <row r="1001" spans="16:19" x14ac:dyDescent="0.35">
      <c r="P1001">
        <v>1</v>
      </c>
      <c r="Q1001">
        <v>483.38</v>
      </c>
      <c r="R1001">
        <v>6</v>
      </c>
      <c r="S1001">
        <v>483.38</v>
      </c>
    </row>
    <row r="1002" spans="16:19" x14ac:dyDescent="0.35">
      <c r="P1002">
        <v>5</v>
      </c>
      <c r="Q1002">
        <v>260.93</v>
      </c>
      <c r="R1002">
        <v>9</v>
      </c>
      <c r="S1002">
        <v>1304.6500000000001</v>
      </c>
    </row>
    <row r="1003" spans="16:19" x14ac:dyDescent="0.35">
      <c r="P1003">
        <v>2</v>
      </c>
      <c r="Q1003">
        <v>253.68</v>
      </c>
      <c r="R1003">
        <v>6</v>
      </c>
      <c r="S1003">
        <v>507.36</v>
      </c>
    </row>
    <row r="1004" spans="16:19" x14ac:dyDescent="0.35">
      <c r="P1004">
        <v>4</v>
      </c>
      <c r="Q1004">
        <v>699.88</v>
      </c>
      <c r="R1004">
        <v>5</v>
      </c>
      <c r="S1004">
        <v>2799.52</v>
      </c>
    </row>
    <row r="1005" spans="16:19" x14ac:dyDescent="0.35">
      <c r="P1005">
        <v>5</v>
      </c>
      <c r="Q1005">
        <v>319.97000000000003</v>
      </c>
      <c r="R1005">
        <v>7</v>
      </c>
      <c r="S1005">
        <v>1599.85</v>
      </c>
    </row>
    <row r="1006" spans="16:19" x14ac:dyDescent="0.35">
      <c r="P1006">
        <v>4</v>
      </c>
      <c r="Q1006">
        <v>246.91</v>
      </c>
      <c r="R1006">
        <v>8</v>
      </c>
      <c r="S1006">
        <v>987.64</v>
      </c>
    </row>
    <row r="1007" spans="16:19" x14ac:dyDescent="0.35">
      <c r="P1007">
        <v>3</v>
      </c>
      <c r="Q1007">
        <v>392.85</v>
      </c>
      <c r="R1007">
        <v>6</v>
      </c>
      <c r="S1007">
        <v>1178.55</v>
      </c>
    </row>
    <row r="1008" spans="16:19" x14ac:dyDescent="0.35">
      <c r="P1008">
        <v>5</v>
      </c>
      <c r="Q1008">
        <v>420.98</v>
      </c>
      <c r="R1008">
        <v>7</v>
      </c>
      <c r="S1008">
        <v>2104.9</v>
      </c>
    </row>
    <row r="1009" spans="16:19" x14ac:dyDescent="0.35">
      <c r="P1009">
        <v>2</v>
      </c>
      <c r="Q1009">
        <v>73.260000000000005</v>
      </c>
      <c r="R1009">
        <v>4</v>
      </c>
      <c r="S1009">
        <v>146.52000000000001</v>
      </c>
    </row>
    <row r="1010" spans="16:19" x14ac:dyDescent="0.35">
      <c r="P1010">
        <v>3</v>
      </c>
      <c r="Q1010">
        <v>410.88</v>
      </c>
      <c r="R1010">
        <v>8</v>
      </c>
      <c r="S1010">
        <v>1232.6400000000001</v>
      </c>
    </row>
    <row r="1011" spans="16:19" x14ac:dyDescent="0.35">
      <c r="P1011">
        <v>2</v>
      </c>
      <c r="Q1011">
        <v>176.46</v>
      </c>
      <c r="R1011">
        <v>2</v>
      </c>
      <c r="S1011">
        <v>352.92</v>
      </c>
    </row>
    <row r="1012" spans="16:19" x14ac:dyDescent="0.35">
      <c r="P1012">
        <v>3</v>
      </c>
      <c r="Q1012">
        <v>659.57</v>
      </c>
      <c r="R1012">
        <v>6</v>
      </c>
      <c r="S1012">
        <v>1978.71</v>
      </c>
    </row>
    <row r="1013" spans="16:19" x14ac:dyDescent="0.35">
      <c r="P1013">
        <v>2</v>
      </c>
      <c r="Q1013">
        <v>478.36</v>
      </c>
      <c r="R1013">
        <v>3</v>
      </c>
      <c r="S1013">
        <v>956.72</v>
      </c>
    </row>
    <row r="1014" spans="16:19" x14ac:dyDescent="0.35">
      <c r="P1014">
        <v>4</v>
      </c>
      <c r="Q1014">
        <v>30.05</v>
      </c>
      <c r="R1014">
        <v>6</v>
      </c>
      <c r="S1014">
        <v>120.2</v>
      </c>
    </row>
    <row r="1015" spans="16:19" x14ac:dyDescent="0.35">
      <c r="P1015">
        <v>4</v>
      </c>
      <c r="Q1015">
        <v>300.56</v>
      </c>
      <c r="R1015">
        <v>9</v>
      </c>
      <c r="S1015">
        <v>1202.24</v>
      </c>
    </row>
    <row r="1016" spans="16:19" x14ac:dyDescent="0.35">
      <c r="P1016">
        <v>5</v>
      </c>
      <c r="Q1016">
        <v>226.45</v>
      </c>
      <c r="R1016">
        <v>6</v>
      </c>
      <c r="S1016">
        <v>1132.25</v>
      </c>
    </row>
    <row r="1017" spans="16:19" x14ac:dyDescent="0.35">
      <c r="P1017">
        <v>2</v>
      </c>
      <c r="Q1017">
        <v>349.4</v>
      </c>
      <c r="R1017">
        <v>2</v>
      </c>
      <c r="S1017">
        <v>698.8</v>
      </c>
    </row>
    <row r="1018" spans="16:19" x14ac:dyDescent="0.35">
      <c r="P1018">
        <v>5</v>
      </c>
      <c r="Q1018">
        <v>268.77999999999997</v>
      </c>
      <c r="R1018">
        <v>7</v>
      </c>
      <c r="S1018">
        <v>1343.9</v>
      </c>
    </row>
    <row r="1019" spans="16:19" x14ac:dyDescent="0.35">
      <c r="P1019">
        <v>2</v>
      </c>
      <c r="Q1019">
        <v>680.85</v>
      </c>
      <c r="R1019">
        <v>6</v>
      </c>
      <c r="S1019">
        <v>1361.7</v>
      </c>
    </row>
    <row r="1020" spans="16:19" x14ac:dyDescent="0.35">
      <c r="P1020">
        <v>3</v>
      </c>
      <c r="Q1020">
        <v>182.48</v>
      </c>
      <c r="R1020">
        <v>3</v>
      </c>
      <c r="S1020">
        <v>547.43999999999994</v>
      </c>
    </row>
    <row r="1021" spans="16:19" x14ac:dyDescent="0.35">
      <c r="P1021">
        <v>1</v>
      </c>
      <c r="Q1021">
        <v>277.08999999999997</v>
      </c>
      <c r="R1021">
        <v>2</v>
      </c>
      <c r="S1021">
        <v>277.08999999999997</v>
      </c>
    </row>
    <row r="1022" spans="16:19" x14ac:dyDescent="0.35">
      <c r="P1022">
        <v>2</v>
      </c>
      <c r="Q1022">
        <v>26.5</v>
      </c>
      <c r="R1022">
        <v>3</v>
      </c>
      <c r="S1022">
        <v>53</v>
      </c>
    </row>
    <row r="1023" spans="16:19" x14ac:dyDescent="0.35">
      <c r="P1023">
        <v>3</v>
      </c>
      <c r="Q1023">
        <v>315.27</v>
      </c>
      <c r="R1023">
        <v>4</v>
      </c>
      <c r="S1023">
        <v>945.81</v>
      </c>
    </row>
    <row r="1024" spans="16:19" x14ac:dyDescent="0.35">
      <c r="P1024">
        <v>3</v>
      </c>
      <c r="Q1024">
        <v>450.98</v>
      </c>
      <c r="R1024">
        <v>8</v>
      </c>
      <c r="S1024">
        <v>1352.94</v>
      </c>
    </row>
    <row r="1025" spans="16:19" x14ac:dyDescent="0.35">
      <c r="P1025">
        <v>5</v>
      </c>
      <c r="Q1025">
        <v>233.67</v>
      </c>
      <c r="R1025">
        <v>10</v>
      </c>
      <c r="S1025">
        <v>1168.3499999999999</v>
      </c>
    </row>
    <row r="1026" spans="16:19" x14ac:dyDescent="0.35">
      <c r="P1026">
        <v>3</v>
      </c>
      <c r="Q1026">
        <v>367.75</v>
      </c>
      <c r="R1026">
        <v>7</v>
      </c>
      <c r="S1026">
        <v>1103.25</v>
      </c>
    </row>
    <row r="1027" spans="16:19" x14ac:dyDescent="0.35">
      <c r="P1027">
        <v>1</v>
      </c>
      <c r="Q1027">
        <v>23.53</v>
      </c>
      <c r="R1027">
        <v>2</v>
      </c>
      <c r="S1027">
        <v>23.53</v>
      </c>
    </row>
    <row r="1028" spans="16:19" x14ac:dyDescent="0.35">
      <c r="P1028">
        <v>1</v>
      </c>
      <c r="Q1028">
        <v>677.48</v>
      </c>
      <c r="R1028">
        <v>1</v>
      </c>
      <c r="S1028">
        <v>677.48</v>
      </c>
    </row>
    <row r="1029" spans="16:19" x14ac:dyDescent="0.35">
      <c r="P1029">
        <v>4</v>
      </c>
      <c r="Q1029">
        <v>554.83000000000004</v>
      </c>
      <c r="R1029">
        <v>6</v>
      </c>
      <c r="S1029">
        <v>2219.3200000000002</v>
      </c>
    </row>
    <row r="1030" spans="16:19" x14ac:dyDescent="0.35">
      <c r="P1030">
        <v>4</v>
      </c>
      <c r="Q1030">
        <v>440.31</v>
      </c>
      <c r="R1030">
        <v>6</v>
      </c>
      <c r="S1030">
        <v>1761.24</v>
      </c>
    </row>
    <row r="1031" spans="16:19" x14ac:dyDescent="0.35">
      <c r="P1031">
        <v>1</v>
      </c>
      <c r="Q1031">
        <v>87.06</v>
      </c>
      <c r="R1031">
        <v>4</v>
      </c>
      <c r="S1031">
        <v>87.06</v>
      </c>
    </row>
    <row r="1032" spans="16:19" x14ac:dyDescent="0.35">
      <c r="P1032">
        <v>4</v>
      </c>
      <c r="Q1032">
        <v>245.28</v>
      </c>
      <c r="R1032">
        <v>6</v>
      </c>
      <c r="S1032">
        <v>981.12</v>
      </c>
    </row>
    <row r="1033" spans="16:19" x14ac:dyDescent="0.35">
      <c r="P1033">
        <v>5</v>
      </c>
      <c r="Q1033">
        <v>664.51</v>
      </c>
      <c r="R1033">
        <v>8</v>
      </c>
      <c r="S1033">
        <v>3322.55</v>
      </c>
    </row>
    <row r="1034" spans="16:19" x14ac:dyDescent="0.35">
      <c r="P1034">
        <v>1</v>
      </c>
      <c r="Q1034">
        <v>618.67999999999995</v>
      </c>
      <c r="R1034">
        <v>6</v>
      </c>
      <c r="S1034">
        <v>618.67999999999995</v>
      </c>
    </row>
    <row r="1035" spans="16:19" x14ac:dyDescent="0.35">
      <c r="P1035">
        <v>1</v>
      </c>
      <c r="Q1035">
        <v>370.85</v>
      </c>
      <c r="R1035">
        <v>2</v>
      </c>
      <c r="S1035">
        <v>370.85</v>
      </c>
    </row>
    <row r="1036" spans="16:19" x14ac:dyDescent="0.35">
      <c r="P1036">
        <v>4</v>
      </c>
      <c r="Q1036">
        <v>517.98</v>
      </c>
      <c r="R1036">
        <v>8</v>
      </c>
      <c r="S1036">
        <v>2071.92</v>
      </c>
    </row>
    <row r="1037" spans="16:19" x14ac:dyDescent="0.35">
      <c r="P1037">
        <v>4</v>
      </c>
      <c r="Q1037">
        <v>506.11</v>
      </c>
      <c r="R1037">
        <v>5</v>
      </c>
      <c r="S1037">
        <v>2024.44</v>
      </c>
    </row>
    <row r="1038" spans="16:19" x14ac:dyDescent="0.35">
      <c r="P1038">
        <v>3</v>
      </c>
      <c r="Q1038">
        <v>413.83</v>
      </c>
      <c r="R1038">
        <v>8</v>
      </c>
      <c r="S1038">
        <v>1241.49</v>
      </c>
    </row>
    <row r="1039" spans="16:19" x14ac:dyDescent="0.35">
      <c r="P1039">
        <v>1</v>
      </c>
      <c r="Q1039">
        <v>249.81</v>
      </c>
      <c r="R1039">
        <v>1</v>
      </c>
      <c r="S1039">
        <v>249.81</v>
      </c>
    </row>
    <row r="1040" spans="16:19" x14ac:dyDescent="0.35">
      <c r="P1040">
        <v>3</v>
      </c>
      <c r="Q1040">
        <v>362.53</v>
      </c>
      <c r="R1040">
        <v>5</v>
      </c>
      <c r="S1040">
        <v>1087.5899999999999</v>
      </c>
    </row>
    <row r="1041" spans="16:19" x14ac:dyDescent="0.35">
      <c r="P1041">
        <v>2</v>
      </c>
      <c r="Q1041">
        <v>299.23</v>
      </c>
      <c r="R1041">
        <v>2</v>
      </c>
      <c r="S1041">
        <v>598.46</v>
      </c>
    </row>
    <row r="1042" spans="16:19" x14ac:dyDescent="0.35">
      <c r="P1042">
        <v>1</v>
      </c>
      <c r="Q1042">
        <v>536.07000000000005</v>
      </c>
      <c r="R1042">
        <v>5</v>
      </c>
      <c r="S1042">
        <v>536.07000000000005</v>
      </c>
    </row>
    <row r="1043" spans="16:19" x14ac:dyDescent="0.35">
      <c r="P1043">
        <v>4</v>
      </c>
      <c r="Q1043">
        <v>558.9</v>
      </c>
      <c r="R1043">
        <v>9</v>
      </c>
      <c r="S1043">
        <v>2235.6</v>
      </c>
    </row>
    <row r="1044" spans="16:19" x14ac:dyDescent="0.35">
      <c r="P1044">
        <v>2</v>
      </c>
      <c r="Q1044">
        <v>409.75</v>
      </c>
      <c r="R1044">
        <v>2</v>
      </c>
      <c r="S1044">
        <v>819.5</v>
      </c>
    </row>
    <row r="1045" spans="16:19" x14ac:dyDescent="0.35">
      <c r="P1045">
        <v>2</v>
      </c>
      <c r="Q1045">
        <v>179.96</v>
      </c>
      <c r="R1045">
        <v>5</v>
      </c>
      <c r="S1045">
        <v>359.92</v>
      </c>
    </row>
    <row r="1046" spans="16:19" x14ac:dyDescent="0.35">
      <c r="P1046">
        <v>1</v>
      </c>
      <c r="Q1046">
        <v>38.49</v>
      </c>
      <c r="R1046">
        <v>4</v>
      </c>
      <c r="S1046">
        <v>38.49</v>
      </c>
    </row>
    <row r="1047" spans="16:19" x14ac:dyDescent="0.35">
      <c r="P1047">
        <v>5</v>
      </c>
      <c r="Q1047">
        <v>316.39999999999998</v>
      </c>
      <c r="R1047">
        <v>7</v>
      </c>
      <c r="S1047">
        <v>1582</v>
      </c>
    </row>
    <row r="1048" spans="16:19" x14ac:dyDescent="0.35">
      <c r="P1048">
        <v>3</v>
      </c>
      <c r="Q1048">
        <v>547.15</v>
      </c>
      <c r="R1048">
        <v>4</v>
      </c>
      <c r="S1048">
        <v>1641.45</v>
      </c>
    </row>
    <row r="1049" spans="16:19" x14ac:dyDescent="0.35">
      <c r="P1049">
        <v>4</v>
      </c>
      <c r="Q1049">
        <v>540.34</v>
      </c>
      <c r="R1049">
        <v>6</v>
      </c>
      <c r="S1049">
        <v>2161.36</v>
      </c>
    </row>
    <row r="1050" spans="16:19" x14ac:dyDescent="0.35">
      <c r="P1050">
        <v>4</v>
      </c>
      <c r="Q1050">
        <v>73.650000000000006</v>
      </c>
      <c r="R1050">
        <v>9</v>
      </c>
      <c r="S1050">
        <v>294.60000000000002</v>
      </c>
    </row>
    <row r="1051" spans="16:19" x14ac:dyDescent="0.35">
      <c r="P1051">
        <v>5</v>
      </c>
      <c r="Q1051">
        <v>391.86</v>
      </c>
      <c r="R1051">
        <v>6</v>
      </c>
      <c r="S1051">
        <v>1959.3</v>
      </c>
    </row>
    <row r="1052" spans="16:19" x14ac:dyDescent="0.35">
      <c r="P1052">
        <v>5</v>
      </c>
      <c r="Q1052">
        <v>69.7</v>
      </c>
      <c r="R1052">
        <v>9</v>
      </c>
      <c r="S1052">
        <v>348.5</v>
      </c>
    </row>
    <row r="1053" spans="16:19" x14ac:dyDescent="0.35">
      <c r="P1053">
        <v>5</v>
      </c>
      <c r="Q1053">
        <v>26.43</v>
      </c>
      <c r="R1053">
        <v>5</v>
      </c>
      <c r="S1053">
        <v>132.15</v>
      </c>
    </row>
    <row r="1054" spans="16:19" x14ac:dyDescent="0.35">
      <c r="P1054">
        <v>1</v>
      </c>
      <c r="Q1054">
        <v>531.74</v>
      </c>
      <c r="R1054">
        <v>1</v>
      </c>
      <c r="S1054">
        <v>531.74</v>
      </c>
    </row>
    <row r="1055" spans="16:19" x14ac:dyDescent="0.35">
      <c r="P1055">
        <v>2</v>
      </c>
      <c r="Q1055">
        <v>496.62</v>
      </c>
      <c r="R1055">
        <v>2</v>
      </c>
      <c r="S1055">
        <v>993.24</v>
      </c>
    </row>
    <row r="1056" spans="16:19" x14ac:dyDescent="0.35">
      <c r="P1056">
        <v>1</v>
      </c>
      <c r="Q1056">
        <v>660.66</v>
      </c>
      <c r="R1056">
        <v>3</v>
      </c>
      <c r="S1056">
        <v>660.66</v>
      </c>
    </row>
    <row r="1057" spans="16:19" x14ac:dyDescent="0.35">
      <c r="P1057">
        <v>4</v>
      </c>
      <c r="Q1057">
        <v>274.82</v>
      </c>
      <c r="R1057">
        <v>9</v>
      </c>
      <c r="S1057">
        <v>1099.28</v>
      </c>
    </row>
    <row r="1058" spans="16:19" x14ac:dyDescent="0.35">
      <c r="P1058">
        <v>2</v>
      </c>
      <c r="Q1058">
        <v>486.35</v>
      </c>
      <c r="R1058">
        <v>6</v>
      </c>
      <c r="S1058">
        <v>972.7</v>
      </c>
    </row>
    <row r="1059" spans="16:19" x14ac:dyDescent="0.35">
      <c r="P1059">
        <v>3</v>
      </c>
      <c r="Q1059">
        <v>428.88</v>
      </c>
      <c r="R1059">
        <v>3</v>
      </c>
      <c r="S1059">
        <v>1286.6400000000001</v>
      </c>
    </row>
    <row r="1060" spans="16:19" x14ac:dyDescent="0.35">
      <c r="P1060">
        <v>2</v>
      </c>
      <c r="Q1060">
        <v>412.14</v>
      </c>
      <c r="R1060">
        <v>2</v>
      </c>
      <c r="S1060">
        <v>824.28</v>
      </c>
    </row>
    <row r="1061" spans="16:19" x14ac:dyDescent="0.35">
      <c r="P1061">
        <v>1</v>
      </c>
      <c r="Q1061">
        <v>265.64</v>
      </c>
      <c r="R1061">
        <v>3</v>
      </c>
      <c r="S1061">
        <v>265.64</v>
      </c>
    </row>
    <row r="1062" spans="16:19" x14ac:dyDescent="0.35">
      <c r="P1062">
        <v>2</v>
      </c>
      <c r="Q1062">
        <v>273.43</v>
      </c>
      <c r="R1062">
        <v>7</v>
      </c>
      <c r="S1062">
        <v>546.86</v>
      </c>
    </row>
    <row r="1063" spans="16:19" x14ac:dyDescent="0.35">
      <c r="P1063">
        <v>5</v>
      </c>
      <c r="Q1063">
        <v>131.69999999999999</v>
      </c>
      <c r="R1063">
        <v>8</v>
      </c>
      <c r="S1063">
        <v>658.5</v>
      </c>
    </row>
    <row r="1064" spans="16:19" x14ac:dyDescent="0.35">
      <c r="P1064">
        <v>5</v>
      </c>
      <c r="Q1064">
        <v>85.52</v>
      </c>
      <c r="R1064">
        <v>5</v>
      </c>
      <c r="S1064">
        <v>427.6</v>
      </c>
    </row>
    <row r="1065" spans="16:19" x14ac:dyDescent="0.35">
      <c r="P1065">
        <v>2</v>
      </c>
      <c r="Q1065">
        <v>320.68</v>
      </c>
      <c r="R1065">
        <v>5</v>
      </c>
      <c r="S1065">
        <v>641.36</v>
      </c>
    </row>
    <row r="1066" spans="16:19" x14ac:dyDescent="0.35">
      <c r="P1066">
        <v>4</v>
      </c>
      <c r="Q1066">
        <v>198.81</v>
      </c>
      <c r="R1066">
        <v>9</v>
      </c>
      <c r="S1066">
        <v>795.24</v>
      </c>
    </row>
    <row r="1067" spans="16:19" x14ac:dyDescent="0.35">
      <c r="P1067">
        <v>5</v>
      </c>
      <c r="Q1067">
        <v>666.8</v>
      </c>
      <c r="R1067">
        <v>7</v>
      </c>
      <c r="S1067">
        <v>3334</v>
      </c>
    </row>
    <row r="1068" spans="16:19" x14ac:dyDescent="0.35">
      <c r="P1068">
        <v>1</v>
      </c>
      <c r="Q1068">
        <v>355.09</v>
      </c>
      <c r="R1068">
        <v>5</v>
      </c>
      <c r="S1068">
        <v>355.09</v>
      </c>
    </row>
    <row r="1069" spans="16:19" x14ac:dyDescent="0.35">
      <c r="P1069">
        <v>2</v>
      </c>
      <c r="Q1069">
        <v>316.2</v>
      </c>
      <c r="R1069">
        <v>2</v>
      </c>
      <c r="S1069">
        <v>632.4</v>
      </c>
    </row>
    <row r="1070" spans="16:19" x14ac:dyDescent="0.35">
      <c r="P1070">
        <v>1</v>
      </c>
      <c r="Q1070">
        <v>133.38999999999999</v>
      </c>
      <c r="R1070">
        <v>2</v>
      </c>
      <c r="S1070">
        <v>133.38999999999999</v>
      </c>
    </row>
    <row r="1071" spans="16:19" x14ac:dyDescent="0.35">
      <c r="P1071">
        <v>1</v>
      </c>
      <c r="Q1071">
        <v>454.23</v>
      </c>
      <c r="R1071">
        <v>3</v>
      </c>
      <c r="S1071">
        <v>454.23</v>
      </c>
    </row>
    <row r="1072" spans="16:19" x14ac:dyDescent="0.35">
      <c r="P1072">
        <v>4</v>
      </c>
      <c r="Q1072">
        <v>491.29</v>
      </c>
      <c r="R1072">
        <v>6</v>
      </c>
      <c r="S1072">
        <v>1965.16</v>
      </c>
    </row>
    <row r="1073" spans="16:19" x14ac:dyDescent="0.35">
      <c r="P1073">
        <v>2</v>
      </c>
      <c r="Q1073">
        <v>255.14</v>
      </c>
      <c r="R1073">
        <v>2</v>
      </c>
      <c r="S1073">
        <v>510.28</v>
      </c>
    </row>
    <row r="1074" spans="16:19" x14ac:dyDescent="0.35">
      <c r="P1074">
        <v>1</v>
      </c>
      <c r="Q1074">
        <v>392.61</v>
      </c>
      <c r="R1074">
        <v>4</v>
      </c>
      <c r="S1074">
        <v>392.61</v>
      </c>
    </row>
    <row r="1075" spans="16:19" x14ac:dyDescent="0.35">
      <c r="P1075">
        <v>4</v>
      </c>
      <c r="Q1075">
        <v>362.06</v>
      </c>
      <c r="R1075">
        <v>4</v>
      </c>
      <c r="S1075">
        <v>1448.24</v>
      </c>
    </row>
    <row r="1076" spans="16:19" x14ac:dyDescent="0.35">
      <c r="P1076">
        <v>1</v>
      </c>
      <c r="Q1076">
        <v>222.73</v>
      </c>
      <c r="R1076">
        <v>4</v>
      </c>
      <c r="S1076">
        <v>222.73</v>
      </c>
    </row>
    <row r="1077" spans="16:19" x14ac:dyDescent="0.35">
      <c r="P1077">
        <v>2</v>
      </c>
      <c r="Q1077">
        <v>552.63</v>
      </c>
      <c r="R1077">
        <v>7</v>
      </c>
      <c r="S1077">
        <v>1105.26</v>
      </c>
    </row>
    <row r="1078" spans="16:19" x14ac:dyDescent="0.35">
      <c r="P1078">
        <v>4</v>
      </c>
      <c r="Q1078">
        <v>686.61</v>
      </c>
      <c r="R1078">
        <v>6</v>
      </c>
      <c r="S1078">
        <v>2746.44</v>
      </c>
    </row>
    <row r="1079" spans="16:19" x14ac:dyDescent="0.35">
      <c r="P1079">
        <v>3</v>
      </c>
      <c r="Q1079">
        <v>305.16000000000003</v>
      </c>
      <c r="R1079">
        <v>8</v>
      </c>
      <c r="S1079">
        <v>915.48</v>
      </c>
    </row>
    <row r="1080" spans="16:19" x14ac:dyDescent="0.35">
      <c r="P1080">
        <v>1</v>
      </c>
      <c r="Q1080">
        <v>41.09</v>
      </c>
      <c r="R1080">
        <v>4</v>
      </c>
      <c r="S1080">
        <v>41.09</v>
      </c>
    </row>
    <row r="1081" spans="16:19" x14ac:dyDescent="0.35">
      <c r="P1081">
        <v>5</v>
      </c>
      <c r="Q1081">
        <v>634</v>
      </c>
      <c r="R1081">
        <v>8</v>
      </c>
      <c r="S1081">
        <v>3170</v>
      </c>
    </row>
    <row r="1082" spans="16:19" x14ac:dyDescent="0.35">
      <c r="P1082">
        <v>5</v>
      </c>
      <c r="Q1082">
        <v>464.74</v>
      </c>
      <c r="R1082">
        <v>7</v>
      </c>
      <c r="S1082">
        <v>2323.6999999999998</v>
      </c>
    </row>
    <row r="1083" spans="16:19" x14ac:dyDescent="0.35">
      <c r="P1083">
        <v>4</v>
      </c>
      <c r="Q1083">
        <v>425.6</v>
      </c>
      <c r="R1083">
        <v>5</v>
      </c>
      <c r="S1083">
        <v>1702.4</v>
      </c>
    </row>
    <row r="1084" spans="16:19" x14ac:dyDescent="0.35">
      <c r="P1084">
        <v>3</v>
      </c>
      <c r="Q1084">
        <v>573.22</v>
      </c>
      <c r="R1084">
        <v>5</v>
      </c>
      <c r="S1084">
        <v>1719.66</v>
      </c>
    </row>
    <row r="1085" spans="16:19" x14ac:dyDescent="0.35">
      <c r="P1085">
        <v>1</v>
      </c>
      <c r="Q1085">
        <v>123.28</v>
      </c>
      <c r="R1085">
        <v>3</v>
      </c>
      <c r="S1085">
        <v>123.28</v>
      </c>
    </row>
    <row r="1086" spans="16:19" x14ac:dyDescent="0.35">
      <c r="P1086">
        <v>1</v>
      </c>
      <c r="Q1086">
        <v>70.819999999999993</v>
      </c>
      <c r="R1086">
        <v>1</v>
      </c>
      <c r="S1086">
        <v>70.819999999999993</v>
      </c>
    </row>
    <row r="1087" spans="16:19" x14ac:dyDescent="0.35">
      <c r="P1087">
        <v>2</v>
      </c>
      <c r="Q1087">
        <v>646.69000000000005</v>
      </c>
      <c r="R1087">
        <v>7</v>
      </c>
      <c r="S1087">
        <v>1293.3800000000001</v>
      </c>
    </row>
    <row r="1088" spans="16:19" x14ac:dyDescent="0.35">
      <c r="P1088">
        <v>2</v>
      </c>
      <c r="Q1088">
        <v>513.41999999999996</v>
      </c>
      <c r="R1088">
        <v>5</v>
      </c>
      <c r="S1088">
        <v>1026.8399999999999</v>
      </c>
    </row>
    <row r="1089" spans="16:19" x14ac:dyDescent="0.35">
      <c r="P1089">
        <v>4</v>
      </c>
      <c r="Q1089">
        <v>693.07</v>
      </c>
      <c r="R1089">
        <v>8</v>
      </c>
      <c r="S1089">
        <v>2772.28</v>
      </c>
    </row>
    <row r="1090" spans="16:19" x14ac:dyDescent="0.35">
      <c r="P1090">
        <v>3</v>
      </c>
      <c r="Q1090">
        <v>491.43</v>
      </c>
      <c r="R1090">
        <v>6</v>
      </c>
      <c r="S1090">
        <v>1474.29</v>
      </c>
    </row>
    <row r="1091" spans="16:19" x14ac:dyDescent="0.35">
      <c r="P1091">
        <v>2</v>
      </c>
      <c r="Q1091">
        <v>599.74</v>
      </c>
      <c r="R1091">
        <v>2</v>
      </c>
      <c r="S1091">
        <v>1199.48</v>
      </c>
    </row>
    <row r="1092" spans="16:19" x14ac:dyDescent="0.35">
      <c r="P1092">
        <v>2</v>
      </c>
      <c r="Q1092">
        <v>650.25</v>
      </c>
      <c r="R1092">
        <v>6</v>
      </c>
      <c r="S1092">
        <v>1300.5</v>
      </c>
    </row>
    <row r="1093" spans="16:19" x14ac:dyDescent="0.35">
      <c r="P1093">
        <v>3</v>
      </c>
      <c r="Q1093">
        <v>209.48</v>
      </c>
      <c r="R1093">
        <v>4</v>
      </c>
      <c r="S1093">
        <v>628.43999999999994</v>
      </c>
    </row>
    <row r="1094" spans="16:19" x14ac:dyDescent="0.35">
      <c r="P1094">
        <v>5</v>
      </c>
      <c r="Q1094">
        <v>209.2</v>
      </c>
      <c r="R1094">
        <v>6</v>
      </c>
      <c r="S1094">
        <v>1046</v>
      </c>
    </row>
    <row r="1095" spans="16:19" x14ac:dyDescent="0.35">
      <c r="P1095">
        <v>4</v>
      </c>
      <c r="Q1095">
        <v>197.36</v>
      </c>
      <c r="R1095">
        <v>9</v>
      </c>
      <c r="S1095">
        <v>789.44</v>
      </c>
    </row>
    <row r="1096" spans="16:19" x14ac:dyDescent="0.35">
      <c r="P1096">
        <v>4</v>
      </c>
      <c r="Q1096">
        <v>648.91</v>
      </c>
      <c r="R1096">
        <v>6</v>
      </c>
      <c r="S1096">
        <v>2595.64</v>
      </c>
    </row>
    <row r="1097" spans="16:19" x14ac:dyDescent="0.35">
      <c r="P1097">
        <v>2</v>
      </c>
      <c r="Q1097">
        <v>441.54</v>
      </c>
      <c r="R1097">
        <v>2</v>
      </c>
      <c r="S1097">
        <v>883.08</v>
      </c>
    </row>
    <row r="1098" spans="16:19" x14ac:dyDescent="0.35">
      <c r="P1098">
        <v>2</v>
      </c>
      <c r="Q1098">
        <v>464.92</v>
      </c>
      <c r="R1098">
        <v>2</v>
      </c>
      <c r="S1098">
        <v>929.84</v>
      </c>
    </row>
    <row r="1099" spans="16:19" x14ac:dyDescent="0.35">
      <c r="P1099">
        <v>5</v>
      </c>
      <c r="Q1099">
        <v>506.45</v>
      </c>
      <c r="R1099">
        <v>7</v>
      </c>
      <c r="S1099">
        <v>2532.25</v>
      </c>
    </row>
    <row r="1100" spans="16:19" x14ac:dyDescent="0.35">
      <c r="P1100">
        <v>4</v>
      </c>
      <c r="Q1100">
        <v>255.86</v>
      </c>
      <c r="R1100">
        <v>7</v>
      </c>
      <c r="S1100">
        <v>1023.44</v>
      </c>
    </row>
    <row r="1101" spans="16:19" x14ac:dyDescent="0.35">
      <c r="P1101">
        <v>2</v>
      </c>
      <c r="Q1101">
        <v>125.23</v>
      </c>
      <c r="R1101">
        <v>3</v>
      </c>
      <c r="S1101">
        <v>250.46</v>
      </c>
    </row>
    <row r="1102" spans="16:19" x14ac:dyDescent="0.35">
      <c r="P1102">
        <v>5</v>
      </c>
      <c r="Q1102">
        <v>38.11</v>
      </c>
      <c r="R1102">
        <v>6</v>
      </c>
      <c r="S1102">
        <v>190.55</v>
      </c>
    </row>
    <row r="1103" spans="16:19" x14ac:dyDescent="0.35">
      <c r="P1103">
        <v>3</v>
      </c>
      <c r="Q1103">
        <v>161.97</v>
      </c>
      <c r="R1103">
        <v>4</v>
      </c>
      <c r="S1103">
        <v>485.91</v>
      </c>
    </row>
    <row r="1104" spans="16:19" x14ac:dyDescent="0.35">
      <c r="P1104">
        <v>4</v>
      </c>
      <c r="Q1104">
        <v>347.17</v>
      </c>
      <c r="R1104">
        <v>8</v>
      </c>
      <c r="S1104">
        <v>1388.68</v>
      </c>
    </row>
    <row r="1105" spans="16:19" x14ac:dyDescent="0.35">
      <c r="P1105">
        <v>4</v>
      </c>
      <c r="Q1105">
        <v>276.32</v>
      </c>
      <c r="R1105">
        <v>5</v>
      </c>
      <c r="S1105">
        <v>1105.28</v>
      </c>
    </row>
    <row r="1106" spans="16:19" x14ac:dyDescent="0.35">
      <c r="P1106">
        <v>4</v>
      </c>
      <c r="Q1106">
        <v>314.76</v>
      </c>
      <c r="R1106">
        <v>8</v>
      </c>
      <c r="S1106">
        <v>1259.04</v>
      </c>
    </row>
    <row r="1107" spans="16:19" x14ac:dyDescent="0.35">
      <c r="P1107">
        <v>3</v>
      </c>
      <c r="Q1107">
        <v>475.69</v>
      </c>
      <c r="R1107">
        <v>3</v>
      </c>
      <c r="S1107">
        <v>1427.07</v>
      </c>
    </row>
    <row r="1108" spans="16:19" x14ac:dyDescent="0.35">
      <c r="P1108">
        <v>1</v>
      </c>
      <c r="Q1108">
        <v>372.8</v>
      </c>
      <c r="R1108">
        <v>6</v>
      </c>
      <c r="S1108">
        <v>372.8</v>
      </c>
    </row>
    <row r="1109" spans="16:19" x14ac:dyDescent="0.35">
      <c r="P1109">
        <v>2</v>
      </c>
      <c r="Q1109">
        <v>63.21</v>
      </c>
      <c r="R1109">
        <v>4</v>
      </c>
      <c r="S1109">
        <v>126.42</v>
      </c>
    </row>
    <row r="1110" spans="16:19" x14ac:dyDescent="0.35">
      <c r="P1110">
        <v>1</v>
      </c>
      <c r="Q1110">
        <v>634.94000000000005</v>
      </c>
      <c r="R1110">
        <v>5</v>
      </c>
      <c r="S1110">
        <v>634.94000000000005</v>
      </c>
    </row>
    <row r="1111" spans="16:19" x14ac:dyDescent="0.35">
      <c r="P1111">
        <v>4</v>
      </c>
      <c r="Q1111">
        <v>77.47</v>
      </c>
      <c r="R1111">
        <v>7</v>
      </c>
      <c r="S1111">
        <v>309.88</v>
      </c>
    </row>
    <row r="1112" spans="16:19" x14ac:dyDescent="0.35">
      <c r="P1112">
        <v>3</v>
      </c>
      <c r="Q1112">
        <v>84.31</v>
      </c>
      <c r="R1112">
        <v>3</v>
      </c>
      <c r="S1112">
        <v>252.93</v>
      </c>
    </row>
    <row r="1113" spans="16:19" x14ac:dyDescent="0.35">
      <c r="P1113">
        <v>4</v>
      </c>
      <c r="Q1113">
        <v>234.45</v>
      </c>
      <c r="R1113">
        <v>9</v>
      </c>
      <c r="S1113">
        <v>937.8</v>
      </c>
    </row>
    <row r="1114" spans="16:19" x14ac:dyDescent="0.35">
      <c r="P1114">
        <v>1</v>
      </c>
      <c r="Q1114">
        <v>356.81</v>
      </c>
      <c r="R1114">
        <v>1</v>
      </c>
      <c r="S1114">
        <v>356.81</v>
      </c>
    </row>
    <row r="1115" spans="16:19" x14ac:dyDescent="0.35">
      <c r="P1115">
        <v>4</v>
      </c>
      <c r="Q1115">
        <v>209.99</v>
      </c>
      <c r="R1115">
        <v>8</v>
      </c>
      <c r="S1115">
        <v>839.96</v>
      </c>
    </row>
    <row r="1116" spans="16:19" x14ac:dyDescent="0.35">
      <c r="P1116">
        <v>3</v>
      </c>
      <c r="Q1116">
        <v>659.88</v>
      </c>
      <c r="R1116">
        <v>3</v>
      </c>
      <c r="S1116">
        <v>1979.64</v>
      </c>
    </row>
    <row r="1117" spans="16:19" x14ac:dyDescent="0.35">
      <c r="P1117">
        <v>2</v>
      </c>
      <c r="Q1117">
        <v>336.32</v>
      </c>
      <c r="R1117">
        <v>3</v>
      </c>
      <c r="S1117">
        <v>672.64</v>
      </c>
    </row>
    <row r="1118" spans="16:19" x14ac:dyDescent="0.35">
      <c r="P1118">
        <v>2</v>
      </c>
      <c r="Q1118">
        <v>531.49</v>
      </c>
      <c r="R1118">
        <v>7</v>
      </c>
      <c r="S1118">
        <v>1062.98</v>
      </c>
    </row>
    <row r="1119" spans="16:19" x14ac:dyDescent="0.35">
      <c r="P1119">
        <v>3</v>
      </c>
      <c r="Q1119">
        <v>588.44000000000005</v>
      </c>
      <c r="R1119">
        <v>8</v>
      </c>
      <c r="S1119">
        <v>1765.32</v>
      </c>
    </row>
    <row r="1120" spans="16:19" x14ac:dyDescent="0.35">
      <c r="P1120">
        <v>3</v>
      </c>
      <c r="Q1120">
        <v>251.48</v>
      </c>
      <c r="R1120">
        <v>4</v>
      </c>
      <c r="S1120">
        <v>754.43999999999994</v>
      </c>
    </row>
    <row r="1121" spans="16:19" x14ac:dyDescent="0.35">
      <c r="P1121">
        <v>1</v>
      </c>
      <c r="Q1121">
        <v>684.65</v>
      </c>
      <c r="R1121">
        <v>1</v>
      </c>
      <c r="S1121">
        <v>684.65</v>
      </c>
    </row>
    <row r="1122" spans="16:19" x14ac:dyDescent="0.35">
      <c r="P1122">
        <v>1</v>
      </c>
      <c r="Q1122">
        <v>195.86</v>
      </c>
      <c r="R1122">
        <v>3</v>
      </c>
      <c r="S1122">
        <v>195.86</v>
      </c>
    </row>
    <row r="1123" spans="16:19" x14ac:dyDescent="0.35">
      <c r="P1123">
        <v>3</v>
      </c>
      <c r="Q1123">
        <v>50.34</v>
      </c>
      <c r="R1123">
        <v>3</v>
      </c>
      <c r="S1123">
        <v>151.02000000000001</v>
      </c>
    </row>
    <row r="1124" spans="16:19" x14ac:dyDescent="0.35">
      <c r="P1124">
        <v>5</v>
      </c>
      <c r="Q1124">
        <v>678.19</v>
      </c>
      <c r="R1124">
        <v>8</v>
      </c>
      <c r="S1124">
        <v>3390.95</v>
      </c>
    </row>
    <row r="1125" spans="16:19" x14ac:dyDescent="0.35">
      <c r="P1125">
        <v>3</v>
      </c>
      <c r="Q1125">
        <v>554.25</v>
      </c>
      <c r="R1125">
        <v>6</v>
      </c>
      <c r="S1125">
        <v>1662.75</v>
      </c>
    </row>
    <row r="1126" spans="16:19" x14ac:dyDescent="0.35">
      <c r="P1126">
        <v>4</v>
      </c>
      <c r="Q1126">
        <v>576.87</v>
      </c>
      <c r="R1126">
        <v>5</v>
      </c>
      <c r="S1126">
        <v>2307.48</v>
      </c>
    </row>
    <row r="1127" spans="16:19" x14ac:dyDescent="0.35">
      <c r="P1127">
        <v>4</v>
      </c>
      <c r="Q1127">
        <v>408.36</v>
      </c>
      <c r="R1127">
        <v>4</v>
      </c>
      <c r="S1127">
        <v>1633.44</v>
      </c>
    </row>
    <row r="1128" spans="16:19" x14ac:dyDescent="0.35">
      <c r="P1128">
        <v>5</v>
      </c>
      <c r="Q1128">
        <v>190.11</v>
      </c>
      <c r="R1128">
        <v>7</v>
      </c>
      <c r="S1128">
        <v>950.55000000000007</v>
      </c>
    </row>
    <row r="1129" spans="16:19" x14ac:dyDescent="0.35">
      <c r="P1129">
        <v>3</v>
      </c>
      <c r="Q1129">
        <v>602.75</v>
      </c>
      <c r="R1129">
        <v>6</v>
      </c>
      <c r="S1129">
        <v>1808.25</v>
      </c>
    </row>
    <row r="1130" spans="16:19" x14ac:dyDescent="0.35">
      <c r="P1130">
        <v>3</v>
      </c>
      <c r="Q1130">
        <v>646.79</v>
      </c>
      <c r="R1130">
        <v>5</v>
      </c>
      <c r="S1130">
        <v>1940.37</v>
      </c>
    </row>
    <row r="1131" spans="16:19" x14ac:dyDescent="0.35">
      <c r="P1131">
        <v>4</v>
      </c>
      <c r="Q1131">
        <v>418.71</v>
      </c>
      <c r="R1131">
        <v>8</v>
      </c>
      <c r="S1131">
        <v>1674.84</v>
      </c>
    </row>
    <row r="1132" spans="16:19" x14ac:dyDescent="0.35">
      <c r="P1132">
        <v>2</v>
      </c>
      <c r="Q1132">
        <v>323.45</v>
      </c>
      <c r="R1132">
        <v>5</v>
      </c>
      <c r="S1132">
        <v>646.9</v>
      </c>
    </row>
    <row r="1133" spans="16:19" x14ac:dyDescent="0.35">
      <c r="P1133">
        <v>1</v>
      </c>
      <c r="Q1133">
        <v>694.5</v>
      </c>
      <c r="R1133">
        <v>3</v>
      </c>
      <c r="S1133">
        <v>694.5</v>
      </c>
    </row>
    <row r="1134" spans="16:19" x14ac:dyDescent="0.35">
      <c r="P1134">
        <v>2</v>
      </c>
      <c r="Q1134">
        <v>337.32</v>
      </c>
      <c r="R1134">
        <v>4</v>
      </c>
      <c r="S1134">
        <v>674.64</v>
      </c>
    </row>
    <row r="1135" spans="16:19" x14ac:dyDescent="0.35">
      <c r="P1135">
        <v>2</v>
      </c>
      <c r="Q1135">
        <v>467.91</v>
      </c>
      <c r="R1135">
        <v>5</v>
      </c>
      <c r="S1135">
        <v>935.82</v>
      </c>
    </row>
    <row r="1136" spans="16:19" x14ac:dyDescent="0.35">
      <c r="P1136">
        <v>4</v>
      </c>
      <c r="Q1136">
        <v>38.28</v>
      </c>
      <c r="R1136">
        <v>4</v>
      </c>
      <c r="S1136">
        <v>153.12</v>
      </c>
    </row>
    <row r="1137" spans="16:19" x14ac:dyDescent="0.35">
      <c r="P1137">
        <v>2</v>
      </c>
      <c r="Q1137">
        <v>73.41</v>
      </c>
      <c r="R1137">
        <v>2</v>
      </c>
      <c r="S1137">
        <v>146.82</v>
      </c>
    </row>
    <row r="1138" spans="16:19" x14ac:dyDescent="0.35">
      <c r="P1138">
        <v>3</v>
      </c>
      <c r="Q1138">
        <v>668.33</v>
      </c>
      <c r="R1138">
        <v>4</v>
      </c>
      <c r="S1138">
        <v>2004.99</v>
      </c>
    </row>
    <row r="1139" spans="16:19" x14ac:dyDescent="0.35">
      <c r="P1139">
        <v>4</v>
      </c>
      <c r="Q1139">
        <v>410.21</v>
      </c>
      <c r="R1139">
        <v>5</v>
      </c>
      <c r="S1139">
        <v>1640.84</v>
      </c>
    </row>
    <row r="1140" spans="16:19" x14ac:dyDescent="0.35">
      <c r="P1140">
        <v>4</v>
      </c>
      <c r="Q1140">
        <v>294.41000000000003</v>
      </c>
      <c r="R1140">
        <v>4</v>
      </c>
      <c r="S1140">
        <v>1177.6400000000001</v>
      </c>
    </row>
    <row r="1141" spans="16:19" x14ac:dyDescent="0.35">
      <c r="P1141">
        <v>3</v>
      </c>
      <c r="Q1141">
        <v>501.82</v>
      </c>
      <c r="R1141">
        <v>4</v>
      </c>
      <c r="S1141">
        <v>1505.46</v>
      </c>
    </row>
    <row r="1142" spans="16:19" x14ac:dyDescent="0.35">
      <c r="P1142">
        <v>2</v>
      </c>
      <c r="Q1142">
        <v>552.83000000000004</v>
      </c>
      <c r="R1142">
        <v>3</v>
      </c>
      <c r="S1142">
        <v>1105.6600000000001</v>
      </c>
    </row>
    <row r="1143" spans="16:19" x14ac:dyDescent="0.35">
      <c r="P1143">
        <v>3</v>
      </c>
      <c r="Q1143">
        <v>498.66</v>
      </c>
      <c r="R1143">
        <v>6</v>
      </c>
      <c r="S1143">
        <v>1495.98</v>
      </c>
    </row>
    <row r="1144" spans="16:19" x14ac:dyDescent="0.35">
      <c r="P1144">
        <v>4</v>
      </c>
      <c r="Q1144">
        <v>695.1</v>
      </c>
      <c r="R1144">
        <v>8</v>
      </c>
      <c r="S1144">
        <v>2780.4</v>
      </c>
    </row>
    <row r="1145" spans="16:19" x14ac:dyDescent="0.35">
      <c r="P1145">
        <v>1</v>
      </c>
      <c r="Q1145">
        <v>381.61</v>
      </c>
      <c r="R1145">
        <v>5</v>
      </c>
      <c r="S1145">
        <v>381.61</v>
      </c>
    </row>
    <row r="1146" spans="16:19" x14ac:dyDescent="0.35">
      <c r="P1146">
        <v>5</v>
      </c>
      <c r="Q1146">
        <v>507.94</v>
      </c>
      <c r="R1146">
        <v>9</v>
      </c>
      <c r="S1146">
        <v>2539.6999999999998</v>
      </c>
    </row>
    <row r="1147" spans="16:19" x14ac:dyDescent="0.35">
      <c r="P1147">
        <v>3</v>
      </c>
      <c r="Q1147">
        <v>571.53</v>
      </c>
      <c r="R1147">
        <v>6</v>
      </c>
      <c r="S1147">
        <v>1714.59</v>
      </c>
    </row>
    <row r="1148" spans="16:19" x14ac:dyDescent="0.35">
      <c r="P1148">
        <v>5</v>
      </c>
      <c r="Q1148">
        <v>421.44</v>
      </c>
      <c r="R1148">
        <v>5</v>
      </c>
      <c r="S1148">
        <v>2107.1999999999998</v>
      </c>
    </row>
    <row r="1149" spans="16:19" x14ac:dyDescent="0.35">
      <c r="P1149">
        <v>2</v>
      </c>
      <c r="Q1149">
        <v>588.29999999999995</v>
      </c>
      <c r="R1149">
        <v>2</v>
      </c>
      <c r="S1149">
        <v>1176.5999999999999</v>
      </c>
    </row>
    <row r="1150" spans="16:19" x14ac:dyDescent="0.35">
      <c r="P1150">
        <v>1</v>
      </c>
      <c r="Q1150">
        <v>355.15</v>
      </c>
      <c r="R1150">
        <v>2</v>
      </c>
      <c r="S1150">
        <v>355.15</v>
      </c>
    </row>
    <row r="1151" spans="16:19" x14ac:dyDescent="0.35">
      <c r="P1151">
        <v>2</v>
      </c>
      <c r="Q1151">
        <v>695.29</v>
      </c>
      <c r="R1151">
        <v>6</v>
      </c>
      <c r="S1151">
        <v>1390.58</v>
      </c>
    </row>
    <row r="1152" spans="16:19" x14ac:dyDescent="0.35">
      <c r="P1152">
        <v>4</v>
      </c>
      <c r="Q1152">
        <v>302.64999999999998</v>
      </c>
      <c r="R1152">
        <v>8</v>
      </c>
      <c r="S1152">
        <v>1210.5999999999999</v>
      </c>
    </row>
    <row r="1153" spans="16:19" x14ac:dyDescent="0.35">
      <c r="P1153">
        <v>2</v>
      </c>
      <c r="Q1153">
        <v>608.04</v>
      </c>
      <c r="R1153">
        <v>4</v>
      </c>
      <c r="S1153">
        <v>1216.08</v>
      </c>
    </row>
    <row r="1154" spans="16:19" x14ac:dyDescent="0.35">
      <c r="P1154">
        <v>2</v>
      </c>
      <c r="Q1154">
        <v>344.18</v>
      </c>
      <c r="R1154">
        <v>7</v>
      </c>
      <c r="S1154">
        <v>688.36</v>
      </c>
    </row>
    <row r="1155" spans="16:19" x14ac:dyDescent="0.35">
      <c r="P1155">
        <v>4</v>
      </c>
      <c r="Q1155">
        <v>696.71</v>
      </c>
      <c r="R1155">
        <v>4</v>
      </c>
      <c r="S1155">
        <v>2786.84</v>
      </c>
    </row>
    <row r="1156" spans="16:19" x14ac:dyDescent="0.35">
      <c r="P1156">
        <v>3</v>
      </c>
      <c r="Q1156">
        <v>198.63</v>
      </c>
      <c r="R1156">
        <v>8</v>
      </c>
      <c r="S1156">
        <v>595.89</v>
      </c>
    </row>
    <row r="1157" spans="16:19" x14ac:dyDescent="0.35">
      <c r="P1157">
        <v>4</v>
      </c>
      <c r="Q1157">
        <v>534.57000000000005</v>
      </c>
      <c r="R1157">
        <v>6</v>
      </c>
      <c r="S1157">
        <v>2138.2800000000002</v>
      </c>
    </row>
    <row r="1158" spans="16:19" x14ac:dyDescent="0.35">
      <c r="P1158">
        <v>4</v>
      </c>
      <c r="Q1158">
        <v>690.78</v>
      </c>
      <c r="R1158">
        <v>9</v>
      </c>
      <c r="S1158">
        <v>2763.12</v>
      </c>
    </row>
    <row r="1159" spans="16:19" x14ac:dyDescent="0.35">
      <c r="P1159">
        <v>3</v>
      </c>
      <c r="Q1159">
        <v>301.55</v>
      </c>
      <c r="R1159">
        <v>5</v>
      </c>
      <c r="S1159">
        <v>904.65000000000009</v>
      </c>
    </row>
    <row r="1160" spans="16:19" x14ac:dyDescent="0.35">
      <c r="P1160">
        <v>4</v>
      </c>
      <c r="Q1160">
        <v>27.42</v>
      </c>
      <c r="R1160">
        <v>4</v>
      </c>
      <c r="S1160">
        <v>109.68</v>
      </c>
    </row>
    <row r="1161" spans="16:19" x14ac:dyDescent="0.35">
      <c r="P1161">
        <v>4</v>
      </c>
      <c r="Q1161">
        <v>466.7</v>
      </c>
      <c r="R1161">
        <v>8</v>
      </c>
      <c r="S1161">
        <v>1866.8</v>
      </c>
    </row>
    <row r="1162" spans="16:19" x14ac:dyDescent="0.35">
      <c r="P1162">
        <v>1</v>
      </c>
      <c r="Q1162">
        <v>541.64</v>
      </c>
      <c r="R1162">
        <v>5</v>
      </c>
      <c r="S1162">
        <v>541.64</v>
      </c>
    </row>
    <row r="1163" spans="16:19" x14ac:dyDescent="0.35">
      <c r="P1163">
        <v>1</v>
      </c>
      <c r="Q1163">
        <v>11.39</v>
      </c>
      <c r="R1163">
        <v>6</v>
      </c>
      <c r="S1163">
        <v>11.39</v>
      </c>
    </row>
    <row r="1164" spans="16:19" x14ac:dyDescent="0.35">
      <c r="P1164">
        <v>2</v>
      </c>
      <c r="Q1164">
        <v>224.37</v>
      </c>
      <c r="R1164">
        <v>3</v>
      </c>
      <c r="S1164">
        <v>448.74</v>
      </c>
    </row>
    <row r="1165" spans="16:19" x14ac:dyDescent="0.35">
      <c r="P1165">
        <v>3</v>
      </c>
      <c r="Q1165">
        <v>306.29000000000002</v>
      </c>
      <c r="R1165">
        <v>7</v>
      </c>
      <c r="S1165">
        <v>918.87000000000012</v>
      </c>
    </row>
    <row r="1166" spans="16:19" x14ac:dyDescent="0.35">
      <c r="P1166">
        <v>5</v>
      </c>
      <c r="Q1166">
        <v>315.57</v>
      </c>
      <c r="R1166">
        <v>6</v>
      </c>
      <c r="S1166">
        <v>1577.85</v>
      </c>
    </row>
    <row r="1167" spans="16:19" x14ac:dyDescent="0.35">
      <c r="P1167">
        <v>3</v>
      </c>
      <c r="Q1167">
        <v>223.79</v>
      </c>
      <c r="R1167">
        <v>3</v>
      </c>
      <c r="S1167">
        <v>671.37</v>
      </c>
    </row>
    <row r="1168" spans="16:19" x14ac:dyDescent="0.35">
      <c r="P1168">
        <v>3</v>
      </c>
      <c r="Q1168">
        <v>324.47000000000003</v>
      </c>
      <c r="R1168">
        <v>4</v>
      </c>
      <c r="S1168">
        <v>973.41000000000008</v>
      </c>
    </row>
    <row r="1169" spans="16:19" x14ac:dyDescent="0.35">
      <c r="P1169">
        <v>2</v>
      </c>
      <c r="Q1169">
        <v>92.87</v>
      </c>
      <c r="R1169">
        <v>5</v>
      </c>
      <c r="S1169">
        <v>185.74</v>
      </c>
    </row>
    <row r="1170" spans="16:19" x14ac:dyDescent="0.35">
      <c r="P1170">
        <v>2</v>
      </c>
      <c r="Q1170">
        <v>331.42</v>
      </c>
      <c r="R1170">
        <v>6</v>
      </c>
      <c r="S1170">
        <v>662.84</v>
      </c>
    </row>
    <row r="1171" spans="16:19" x14ac:dyDescent="0.35">
      <c r="P1171">
        <v>1</v>
      </c>
      <c r="Q1171">
        <v>525.42999999999995</v>
      </c>
      <c r="R1171">
        <v>2</v>
      </c>
      <c r="S1171">
        <v>525.42999999999995</v>
      </c>
    </row>
    <row r="1172" spans="16:19" x14ac:dyDescent="0.35">
      <c r="P1172">
        <v>2</v>
      </c>
      <c r="Q1172">
        <v>697.19</v>
      </c>
      <c r="R1172">
        <v>7</v>
      </c>
      <c r="S1172">
        <v>1394.38</v>
      </c>
    </row>
    <row r="1173" spans="16:19" x14ac:dyDescent="0.35">
      <c r="P1173">
        <v>4</v>
      </c>
      <c r="Q1173">
        <v>518.4</v>
      </c>
      <c r="R1173">
        <v>7</v>
      </c>
      <c r="S1173">
        <v>2073.6</v>
      </c>
    </row>
    <row r="1174" spans="16:19" x14ac:dyDescent="0.35">
      <c r="P1174">
        <v>3</v>
      </c>
      <c r="Q1174">
        <v>131.96</v>
      </c>
      <c r="R1174">
        <v>8</v>
      </c>
      <c r="S1174">
        <v>395.88</v>
      </c>
    </row>
    <row r="1175" spans="16:19" x14ac:dyDescent="0.35">
      <c r="P1175">
        <v>1</v>
      </c>
      <c r="Q1175">
        <v>208.36</v>
      </c>
      <c r="R1175">
        <v>4</v>
      </c>
      <c r="S1175">
        <v>208.36</v>
      </c>
    </row>
    <row r="1176" spans="16:19" x14ac:dyDescent="0.35">
      <c r="P1176">
        <v>3</v>
      </c>
      <c r="Q1176">
        <v>222.34</v>
      </c>
      <c r="R1176">
        <v>5</v>
      </c>
      <c r="S1176">
        <v>667.02</v>
      </c>
    </row>
    <row r="1177" spans="16:19" x14ac:dyDescent="0.35">
      <c r="P1177">
        <v>3</v>
      </c>
      <c r="Q1177">
        <v>91.74</v>
      </c>
      <c r="R1177">
        <v>8</v>
      </c>
      <c r="S1177">
        <v>275.22000000000003</v>
      </c>
    </row>
    <row r="1178" spans="16:19" x14ac:dyDescent="0.35">
      <c r="P1178">
        <v>2</v>
      </c>
      <c r="Q1178">
        <v>213.83</v>
      </c>
      <c r="R1178">
        <v>2</v>
      </c>
      <c r="S1178">
        <v>427.66</v>
      </c>
    </row>
    <row r="1179" spans="16:19" x14ac:dyDescent="0.35">
      <c r="P1179">
        <v>1</v>
      </c>
      <c r="Q1179">
        <v>127.55</v>
      </c>
      <c r="R1179">
        <v>3</v>
      </c>
      <c r="S1179">
        <v>127.55</v>
      </c>
    </row>
    <row r="1180" spans="16:19" x14ac:dyDescent="0.35">
      <c r="P1180">
        <v>1</v>
      </c>
      <c r="Q1180">
        <v>70.239999999999995</v>
      </c>
      <c r="R1180">
        <v>4</v>
      </c>
      <c r="S1180">
        <v>70.239999999999995</v>
      </c>
    </row>
    <row r="1181" spans="16:19" x14ac:dyDescent="0.35">
      <c r="P1181">
        <v>5</v>
      </c>
      <c r="Q1181">
        <v>518.54999999999995</v>
      </c>
      <c r="R1181">
        <v>6</v>
      </c>
      <c r="S1181">
        <v>2592.75</v>
      </c>
    </row>
    <row r="1182" spans="16:19" x14ac:dyDescent="0.35">
      <c r="P1182">
        <v>4</v>
      </c>
      <c r="Q1182">
        <v>298.36</v>
      </c>
      <c r="R1182">
        <v>8</v>
      </c>
      <c r="S1182">
        <v>1193.44</v>
      </c>
    </row>
    <row r="1183" spans="16:19" x14ac:dyDescent="0.35">
      <c r="P1183">
        <v>3</v>
      </c>
      <c r="Q1183">
        <v>158.74</v>
      </c>
      <c r="R1183">
        <v>7</v>
      </c>
      <c r="S1183">
        <v>476.22</v>
      </c>
    </row>
    <row r="1184" spans="16:19" x14ac:dyDescent="0.35">
      <c r="P1184">
        <v>2</v>
      </c>
      <c r="Q1184">
        <v>420.29</v>
      </c>
      <c r="R1184">
        <v>3</v>
      </c>
      <c r="S1184">
        <v>840.58</v>
      </c>
    </row>
    <row r="1185" spans="16:19" x14ac:dyDescent="0.35">
      <c r="P1185">
        <v>1</v>
      </c>
      <c r="Q1185">
        <v>281.52</v>
      </c>
      <c r="R1185">
        <v>6</v>
      </c>
      <c r="S1185">
        <v>281.52</v>
      </c>
    </row>
    <row r="1186" spans="16:19" x14ac:dyDescent="0.35">
      <c r="P1186">
        <v>1</v>
      </c>
      <c r="Q1186">
        <v>204.08</v>
      </c>
      <c r="R1186">
        <v>4</v>
      </c>
      <c r="S1186">
        <v>204.08</v>
      </c>
    </row>
    <row r="1187" spans="16:19" x14ac:dyDescent="0.35">
      <c r="P1187">
        <v>1</v>
      </c>
      <c r="Q1187">
        <v>343.31</v>
      </c>
      <c r="R1187">
        <v>6</v>
      </c>
      <c r="S1187">
        <v>343.31</v>
      </c>
    </row>
    <row r="1188" spans="16:19" x14ac:dyDescent="0.35">
      <c r="P1188">
        <v>1</v>
      </c>
      <c r="Q1188">
        <v>163.32</v>
      </c>
      <c r="R1188">
        <v>6</v>
      </c>
      <c r="S1188">
        <v>163.32</v>
      </c>
    </row>
    <row r="1189" spans="16:19" x14ac:dyDescent="0.35">
      <c r="P1189">
        <v>2</v>
      </c>
      <c r="Q1189">
        <v>184.6</v>
      </c>
      <c r="R1189">
        <v>7</v>
      </c>
      <c r="S1189">
        <v>369.2</v>
      </c>
    </row>
    <row r="1190" spans="16:19" x14ac:dyDescent="0.35">
      <c r="P1190">
        <v>2</v>
      </c>
      <c r="Q1190">
        <v>371.29</v>
      </c>
      <c r="R1190">
        <v>5</v>
      </c>
      <c r="S1190">
        <v>742.58</v>
      </c>
    </row>
    <row r="1191" spans="16:19" x14ac:dyDescent="0.35">
      <c r="P1191">
        <v>5</v>
      </c>
      <c r="Q1191">
        <v>389.22</v>
      </c>
      <c r="R1191">
        <v>7</v>
      </c>
      <c r="S1191">
        <v>1946.1</v>
      </c>
    </row>
    <row r="1192" spans="16:19" x14ac:dyDescent="0.35">
      <c r="P1192">
        <v>3</v>
      </c>
      <c r="Q1192">
        <v>616.39</v>
      </c>
      <c r="R1192">
        <v>6</v>
      </c>
      <c r="S1192">
        <v>1849.17</v>
      </c>
    </row>
    <row r="1193" spans="16:19" x14ac:dyDescent="0.35">
      <c r="P1193">
        <v>4</v>
      </c>
      <c r="Q1193">
        <v>376.43</v>
      </c>
      <c r="R1193">
        <v>5</v>
      </c>
      <c r="S1193">
        <v>1505.72</v>
      </c>
    </row>
    <row r="1194" spans="16:19" x14ac:dyDescent="0.35">
      <c r="P1194">
        <v>3</v>
      </c>
      <c r="Q1194">
        <v>432.85</v>
      </c>
      <c r="R1194">
        <v>4</v>
      </c>
      <c r="S1194">
        <v>1298.55</v>
      </c>
    </row>
    <row r="1195" spans="16:19" x14ac:dyDescent="0.35">
      <c r="P1195">
        <v>1</v>
      </c>
      <c r="Q1195">
        <v>687.89</v>
      </c>
      <c r="R1195">
        <v>1</v>
      </c>
      <c r="S1195">
        <v>687.89</v>
      </c>
    </row>
    <row r="1196" spans="16:19" x14ac:dyDescent="0.35">
      <c r="P1196">
        <v>3</v>
      </c>
      <c r="Q1196">
        <v>189.44</v>
      </c>
      <c r="R1196">
        <v>4</v>
      </c>
      <c r="S1196">
        <v>568.31999999999994</v>
      </c>
    </row>
    <row r="1197" spans="16:19" x14ac:dyDescent="0.35">
      <c r="P1197">
        <v>1</v>
      </c>
      <c r="Q1197">
        <v>107.04</v>
      </c>
      <c r="R1197">
        <v>6</v>
      </c>
      <c r="S1197">
        <v>107.04</v>
      </c>
    </row>
    <row r="1198" spans="16:19" x14ac:dyDescent="0.35">
      <c r="P1198">
        <v>2</v>
      </c>
      <c r="Q1198">
        <v>662.53</v>
      </c>
      <c r="R1198">
        <v>5</v>
      </c>
      <c r="S1198">
        <v>1325.06</v>
      </c>
    </row>
    <row r="1199" spans="16:19" x14ac:dyDescent="0.35">
      <c r="P1199">
        <v>2</v>
      </c>
      <c r="Q1199">
        <v>436.84</v>
      </c>
      <c r="R1199">
        <v>2</v>
      </c>
      <c r="S1199">
        <v>873.68</v>
      </c>
    </row>
    <row r="1200" spans="16:19" x14ac:dyDescent="0.35">
      <c r="P1200">
        <v>4</v>
      </c>
      <c r="Q1200">
        <v>262.52</v>
      </c>
      <c r="R1200">
        <v>4</v>
      </c>
      <c r="S1200">
        <v>1050.08</v>
      </c>
    </row>
    <row r="1201" spans="16:19" x14ac:dyDescent="0.35">
      <c r="P1201">
        <v>4</v>
      </c>
      <c r="Q1201">
        <v>560.58000000000004</v>
      </c>
      <c r="R1201">
        <v>6</v>
      </c>
      <c r="S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Fida Muhammad</cp:lastModifiedBy>
  <dcterms:created xsi:type="dcterms:W3CDTF">2025-06-21T13:19:12Z</dcterms:created>
  <dcterms:modified xsi:type="dcterms:W3CDTF">2026-06-02T07:23:16Z</dcterms:modified>
</cp:coreProperties>
</file>